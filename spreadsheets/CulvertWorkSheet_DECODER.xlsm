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tarke\Documents\tidalCulvert_datasheet\spreadsheets\"/>
    </mc:Choice>
  </mc:AlternateContent>
  <xr:revisionPtr revIDLastSave="0" documentId="10_ncr:100000_{CCD752D8-6EDC-45F8-B1B1-D9585D460356}" xr6:coauthVersionLast="31" xr6:coauthVersionMax="31" xr10:uidLastSave="{00000000-0000-0000-0000-000000000000}"/>
  <bookViews>
    <workbookView xWindow="0" yWindow="0" windowWidth="19200" windowHeight="5010" firstSheet="1" activeTab="1" xr2:uid="{00000000-000D-0000-FFFF-FFFF00000000}"/>
  </bookViews>
  <sheets>
    <sheet name="Data Sheet - BLANK" sheetId="1" r:id="rId1"/>
    <sheet name="Data Sheet - SITE" sheetId="7" r:id="rId2"/>
    <sheet name="Data Sheet - SUMMARY" sheetId="8" r:id="rId3"/>
    <sheet name="Calculations" sheetId="9" r:id="rId4"/>
    <sheet name="Lookups" sheetId="3" r:id="rId5"/>
  </sheets>
  <externalReferences>
    <externalReference r:id="rId6"/>
  </externalReferences>
  <definedNames>
    <definedName name="NEWSCORES" localSheetId="1">[1]Lookups!#REF!</definedName>
    <definedName name="NEWSCORES">[1]Lookups!#REF!</definedName>
    <definedName name="_xlnm.Print_Area" localSheetId="0">'Data Sheet - BLANK'!$A$1:$AH$278</definedName>
    <definedName name="_xlnm.Print_Area" localSheetId="1">'Data Sheet - SITE'!$A$1:$AH$278</definedName>
    <definedName name="_xlnm.Print_Area" localSheetId="2">'Data Sheet - SUMMARY'!$A$1:$AJ$51</definedName>
    <definedName name="Tide" localSheetId="1">Lookups!#REF!</definedName>
    <definedName name="Tide">Lookups!#REF!</definedName>
  </definedNames>
  <calcPr calcId="179017"/>
</workbook>
</file>

<file path=xl/calcChain.xml><?xml version="1.0" encoding="utf-8"?>
<calcChain xmlns="http://schemas.openxmlformats.org/spreadsheetml/2006/main">
  <c r="F14" i="9" l="1"/>
  <c r="G4" i="8" l="1"/>
  <c r="J116" i="8" l="1"/>
  <c r="P105" i="8"/>
  <c r="P56" i="8" s="1"/>
  <c r="P106" i="8"/>
  <c r="P57" i="8" s="1"/>
  <c r="P107" i="8"/>
  <c r="P58" i="8" s="1"/>
  <c r="M105" i="8"/>
  <c r="M106" i="8"/>
  <c r="M107" i="8"/>
  <c r="M104" i="8"/>
  <c r="P104" i="8"/>
  <c r="B2" i="9"/>
  <c r="A2" i="9"/>
  <c r="I9" i="9"/>
  <c r="H9" i="9"/>
  <c r="F9" i="9"/>
  <c r="E9" i="9"/>
  <c r="P26" i="8" l="1"/>
  <c r="N22" i="8"/>
  <c r="N21" i="8"/>
  <c r="P27" i="8" l="1"/>
  <c r="P15" i="8"/>
  <c r="N15" i="8"/>
  <c r="A9" i="9"/>
  <c r="B9" i="9"/>
  <c r="F3" i="9"/>
  <c r="G3" i="9"/>
  <c r="D3" i="9"/>
  <c r="E3" i="9" s="1"/>
  <c r="N24" i="8"/>
  <c r="N29" i="8"/>
  <c r="P16" i="8"/>
  <c r="N16" i="8"/>
  <c r="C9" i="9" l="1"/>
  <c r="N14" i="8" s="1"/>
  <c r="N12" i="8"/>
  <c r="N14" i="9" l="1"/>
  <c r="N17" i="8"/>
  <c r="A5" i="8"/>
  <c r="V5" i="8"/>
  <c r="V6" i="8"/>
  <c r="A7" i="8"/>
  <c r="V7" i="8"/>
  <c r="A8" i="8"/>
  <c r="V8" i="8"/>
  <c r="AA8" i="8"/>
  <c r="AE8" i="8"/>
  <c r="A9" i="8"/>
  <c r="V9" i="8"/>
  <c r="V10" i="8"/>
  <c r="V11" i="8"/>
  <c r="N32" i="8" l="1"/>
  <c r="N19" i="8"/>
  <c r="X86" i="8"/>
  <c r="AF86" i="8" s="1"/>
  <c r="G82" i="8"/>
  <c r="G81" i="8"/>
  <c r="D86" i="8"/>
  <c r="L87" i="8" s="1"/>
  <c r="H86" i="8" l="1"/>
  <c r="L86" i="8"/>
  <c r="P86" i="8" s="1"/>
  <c r="D87" i="8"/>
  <c r="H87" i="8" s="1"/>
  <c r="P87" i="8" s="1"/>
  <c r="T86" i="8" l="1"/>
  <c r="B87" i="8"/>
  <c r="B83" i="8"/>
  <c r="T87" i="8" l="1"/>
  <c r="X87" i="8"/>
  <c r="AF87" i="8" l="1"/>
  <c r="AB86" i="8"/>
  <c r="AB87" i="8" s="1"/>
  <c r="B85" i="8"/>
  <c r="C85" i="8"/>
  <c r="B86" i="8" l="1"/>
  <c r="B84" i="8"/>
  <c r="U108" i="8"/>
  <c r="U62" i="8" s="1"/>
  <c r="AB35" i="8" s="1"/>
  <c r="X108" i="8"/>
  <c r="AA108" i="8"/>
  <c r="AA62" i="8" s="1"/>
  <c r="AF35" i="8" s="1"/>
  <c r="AD108" i="8"/>
  <c r="AD62" i="8" s="1"/>
  <c r="AH35" i="8" s="1"/>
  <c r="AG108" i="8"/>
  <c r="AG62" i="8" s="1"/>
  <c r="U109" i="8"/>
  <c r="U63" i="8" s="1"/>
  <c r="AB36" i="8" s="1"/>
  <c r="X109" i="8"/>
  <c r="AA109" i="8"/>
  <c r="AA63" i="8" s="1"/>
  <c r="AF36" i="8" s="1"/>
  <c r="AD109" i="8"/>
  <c r="AD63" i="8" s="1"/>
  <c r="AH36" i="8" s="1"/>
  <c r="AG109" i="8"/>
  <c r="AG63" i="8" s="1"/>
  <c r="U110" i="8"/>
  <c r="U64" i="8" s="1"/>
  <c r="AB37" i="8" s="1"/>
  <c r="X110" i="8"/>
  <c r="AA110" i="8"/>
  <c r="AA64" i="8" s="1"/>
  <c r="AF37" i="8" s="1"/>
  <c r="AD110" i="8"/>
  <c r="AD64" i="8" s="1"/>
  <c r="AH37" i="8" s="1"/>
  <c r="AG110" i="8"/>
  <c r="AG64" i="8" s="1"/>
  <c r="U111" i="8"/>
  <c r="U65" i="8" s="1"/>
  <c r="AB38" i="8" s="1"/>
  <c r="X111" i="8"/>
  <c r="AA111" i="8"/>
  <c r="AA65" i="8" s="1"/>
  <c r="AF38" i="8" s="1"/>
  <c r="AD111" i="8"/>
  <c r="AD65" i="8" s="1"/>
  <c r="AH38" i="8" s="1"/>
  <c r="AG111" i="8"/>
  <c r="AG65" i="8" s="1"/>
  <c r="U112" i="8"/>
  <c r="U66" i="8" s="1"/>
  <c r="AB39" i="8" s="1"/>
  <c r="X112" i="8"/>
  <c r="AA112" i="8"/>
  <c r="AA66" i="8" s="1"/>
  <c r="AF39" i="8" s="1"/>
  <c r="AD112" i="8"/>
  <c r="AD66" i="8" s="1"/>
  <c r="AH39" i="8" s="1"/>
  <c r="AG112" i="8"/>
  <c r="AG66" i="8" s="1"/>
  <c r="U113" i="8"/>
  <c r="U67" i="8" s="1"/>
  <c r="AB40" i="8" s="1"/>
  <c r="X113" i="8"/>
  <c r="AA113" i="8"/>
  <c r="AA67" i="8" s="1"/>
  <c r="AF40" i="8" s="1"/>
  <c r="AD113" i="8"/>
  <c r="AD67" i="8" s="1"/>
  <c r="AH40" i="8" s="1"/>
  <c r="AG113" i="8"/>
  <c r="AG67" i="8" s="1"/>
  <c r="U114" i="8"/>
  <c r="U68" i="8" s="1"/>
  <c r="AB41" i="8" s="1"/>
  <c r="X114" i="8"/>
  <c r="AA114" i="8"/>
  <c r="AA68" i="8" s="1"/>
  <c r="AF41" i="8" s="1"/>
  <c r="AD114" i="8"/>
  <c r="AD68" i="8" s="1"/>
  <c r="AH41" i="8" s="1"/>
  <c r="AG114" i="8"/>
  <c r="AG68" i="8" s="1"/>
  <c r="U115" i="8"/>
  <c r="U69" i="8" s="1"/>
  <c r="AB42" i="8" s="1"/>
  <c r="X115" i="8"/>
  <c r="AA115" i="8"/>
  <c r="AA69" i="8" s="1"/>
  <c r="AF42" i="8" s="1"/>
  <c r="AD115" i="8"/>
  <c r="AD69" i="8" s="1"/>
  <c r="AH42" i="8" s="1"/>
  <c r="AG115" i="8"/>
  <c r="AG69" i="8" s="1"/>
  <c r="U116" i="8"/>
  <c r="U70" i="8" s="1"/>
  <c r="AB43" i="8" s="1"/>
  <c r="X116" i="8"/>
  <c r="AA116" i="8"/>
  <c r="AA70" i="8" s="1"/>
  <c r="AF43" i="8" s="1"/>
  <c r="AD116" i="8"/>
  <c r="AD70" i="8" s="1"/>
  <c r="AH43" i="8" s="1"/>
  <c r="AG116" i="8"/>
  <c r="AG70" i="8" s="1"/>
  <c r="U117" i="8"/>
  <c r="U71" i="8" s="1"/>
  <c r="AB44" i="8" s="1"/>
  <c r="X117" i="8"/>
  <c r="AA117" i="8"/>
  <c r="AA71" i="8" s="1"/>
  <c r="AF44" i="8" s="1"/>
  <c r="AD117" i="8"/>
  <c r="AD71" i="8" s="1"/>
  <c r="AH44" i="8" s="1"/>
  <c r="AG117" i="8"/>
  <c r="AG71" i="8" s="1"/>
  <c r="U118" i="8"/>
  <c r="U72" i="8" s="1"/>
  <c r="AB45" i="8" s="1"/>
  <c r="X118" i="8"/>
  <c r="AA118" i="8"/>
  <c r="AA72" i="8" s="1"/>
  <c r="AF45" i="8" s="1"/>
  <c r="AD118" i="8"/>
  <c r="AD72" i="8" s="1"/>
  <c r="AH45" i="8" s="1"/>
  <c r="AG118" i="8"/>
  <c r="AG72" i="8" s="1"/>
  <c r="U119" i="8"/>
  <c r="U73" i="8" s="1"/>
  <c r="AB46" i="8" s="1"/>
  <c r="X119" i="8"/>
  <c r="AA119" i="8"/>
  <c r="AA73" i="8" s="1"/>
  <c r="AF46" i="8" s="1"/>
  <c r="AD119" i="8"/>
  <c r="AD73" i="8" s="1"/>
  <c r="AH46" i="8" s="1"/>
  <c r="AG119" i="8"/>
  <c r="AG73" i="8" s="1"/>
  <c r="U120" i="8"/>
  <c r="U74" i="8" s="1"/>
  <c r="AB47" i="8" s="1"/>
  <c r="X120" i="8"/>
  <c r="AA120" i="8"/>
  <c r="AA74" i="8" s="1"/>
  <c r="AF47" i="8" s="1"/>
  <c r="AD120" i="8"/>
  <c r="AD74" i="8" s="1"/>
  <c r="AH47" i="8" s="1"/>
  <c r="AG120" i="8"/>
  <c r="AG74" i="8" s="1"/>
  <c r="U121" i="8"/>
  <c r="U75" i="8" s="1"/>
  <c r="AB48" i="8" s="1"/>
  <c r="X121" i="8"/>
  <c r="AA121" i="8"/>
  <c r="AA75" i="8" s="1"/>
  <c r="AF48" i="8" s="1"/>
  <c r="AD121" i="8"/>
  <c r="AD75" i="8" s="1"/>
  <c r="AH48" i="8" s="1"/>
  <c r="AG121" i="8"/>
  <c r="AG75" i="8" s="1"/>
  <c r="U122" i="8"/>
  <c r="U76" i="8" s="1"/>
  <c r="AB49" i="8" s="1"/>
  <c r="X122" i="8"/>
  <c r="AA122" i="8"/>
  <c r="AA76" i="8" s="1"/>
  <c r="AF49" i="8" s="1"/>
  <c r="AD122" i="8"/>
  <c r="AD76" i="8" s="1"/>
  <c r="AH49" i="8" s="1"/>
  <c r="AG122" i="8"/>
  <c r="AG76" i="8" s="1"/>
  <c r="U123" i="8"/>
  <c r="U77" i="8" s="1"/>
  <c r="AB50" i="8" s="1"/>
  <c r="X123" i="8"/>
  <c r="AA123" i="8"/>
  <c r="AA77" i="8" s="1"/>
  <c r="AF50" i="8" s="1"/>
  <c r="AD123" i="8"/>
  <c r="AD77" i="8" s="1"/>
  <c r="AH50" i="8" s="1"/>
  <c r="AG123" i="8"/>
  <c r="AG77" i="8" s="1"/>
  <c r="U124" i="8"/>
  <c r="U78" i="8" s="1"/>
  <c r="AB51" i="8" s="1"/>
  <c r="X124" i="8"/>
  <c r="AA124" i="8"/>
  <c r="AA78" i="8" s="1"/>
  <c r="AF51" i="8" s="1"/>
  <c r="AD124" i="8"/>
  <c r="AD78" i="8" s="1"/>
  <c r="AH51" i="8" s="1"/>
  <c r="AG124" i="8"/>
  <c r="AG78" i="8" s="1"/>
  <c r="M103" i="8"/>
  <c r="P103" i="8"/>
  <c r="P55" i="8"/>
  <c r="J123" i="8"/>
  <c r="N123" i="8"/>
  <c r="N74" i="8" s="1"/>
  <c r="O123" i="8"/>
  <c r="S123" i="8"/>
  <c r="S74" i="8" s="1"/>
  <c r="J124" i="8"/>
  <c r="N124" i="8"/>
  <c r="N75" i="8" s="1"/>
  <c r="O124" i="8"/>
  <c r="S124" i="8"/>
  <c r="S75" i="8" s="1"/>
  <c r="J113" i="8"/>
  <c r="N113" i="8"/>
  <c r="N64" i="8" s="1"/>
  <c r="O113" i="8"/>
  <c r="S113" i="8"/>
  <c r="S64" i="8" s="1"/>
  <c r="J114" i="8"/>
  <c r="N114" i="8"/>
  <c r="N65" i="8" s="1"/>
  <c r="O114" i="8"/>
  <c r="S114" i="8"/>
  <c r="S65" i="8" s="1"/>
  <c r="J115" i="8"/>
  <c r="N115" i="8"/>
  <c r="N66" i="8" s="1"/>
  <c r="O115" i="8"/>
  <c r="S115" i="8"/>
  <c r="S66" i="8" s="1"/>
  <c r="N116" i="8"/>
  <c r="N67" i="8" s="1"/>
  <c r="O116" i="8"/>
  <c r="S116" i="8"/>
  <c r="S67" i="8" s="1"/>
  <c r="J117" i="8"/>
  <c r="N117" i="8"/>
  <c r="N68" i="8" s="1"/>
  <c r="O117" i="8"/>
  <c r="S117" i="8"/>
  <c r="S68" i="8" s="1"/>
  <c r="J118" i="8"/>
  <c r="N118" i="8"/>
  <c r="N69" i="8" s="1"/>
  <c r="O118" i="8"/>
  <c r="S118" i="8"/>
  <c r="S69" i="8" s="1"/>
  <c r="J119" i="8"/>
  <c r="N119" i="8"/>
  <c r="N70" i="8" s="1"/>
  <c r="O119" i="8"/>
  <c r="S119" i="8"/>
  <c r="S70" i="8" s="1"/>
  <c r="J120" i="8"/>
  <c r="N120" i="8"/>
  <c r="N71" i="8" s="1"/>
  <c r="O120" i="8"/>
  <c r="S120" i="8"/>
  <c r="S71" i="8" s="1"/>
  <c r="J109" i="8"/>
  <c r="N109" i="8"/>
  <c r="N60" i="8" s="1"/>
  <c r="O109" i="8"/>
  <c r="S109" i="8"/>
  <c r="S60" i="8" s="1"/>
  <c r="M56" i="8" l="1"/>
  <c r="M58" i="8"/>
  <c r="M57" i="8"/>
  <c r="O70" i="8"/>
  <c r="O64" i="8"/>
  <c r="O60" i="8"/>
  <c r="O66" i="8"/>
  <c r="J71" i="8"/>
  <c r="J67" i="8"/>
  <c r="X64" i="8"/>
  <c r="AD37" i="8" s="1"/>
  <c r="J70" i="8"/>
  <c r="J66" i="8"/>
  <c r="O65" i="8"/>
  <c r="J69" i="8"/>
  <c r="J65" i="8"/>
  <c r="O69" i="8"/>
  <c r="X66" i="8"/>
  <c r="AD39" i="8" s="1"/>
  <c r="X72" i="8"/>
  <c r="AD45" i="8" s="1"/>
  <c r="O68" i="8"/>
  <c r="J60" i="8"/>
  <c r="J68" i="8"/>
  <c r="X68" i="8"/>
  <c r="AD41" i="8" s="1"/>
  <c r="X71" i="8"/>
  <c r="AD44" i="8" s="1"/>
  <c r="O71" i="8"/>
  <c r="X74" i="8"/>
  <c r="AD47" i="8" s="1"/>
  <c r="J64" i="8"/>
  <c r="O67" i="8"/>
  <c r="X77" i="8"/>
  <c r="AD50" i="8" s="1"/>
  <c r="X67" i="8"/>
  <c r="AD40" i="8" s="1"/>
  <c r="X70" i="8"/>
  <c r="AD43" i="8" s="1"/>
  <c r="X73" i="8"/>
  <c r="AD46" i="8" s="1"/>
  <c r="X76" i="8"/>
  <c r="AD49" i="8" s="1"/>
  <c r="X63" i="8"/>
  <c r="AD36" i="8" s="1"/>
  <c r="X69" i="8"/>
  <c r="AD42" i="8" s="1"/>
  <c r="M55" i="8"/>
  <c r="O74" i="8"/>
  <c r="O75" i="8" s="1"/>
  <c r="J74" i="8"/>
  <c r="J75" i="8" s="1"/>
  <c r="X75" i="8"/>
  <c r="AD48" i="8" s="1"/>
  <c r="X78" i="8"/>
  <c r="AD51" i="8" s="1"/>
  <c r="X62" i="8"/>
  <c r="AD35" i="8" s="1"/>
  <c r="X65" i="8"/>
  <c r="AD38" i="8" s="1"/>
  <c r="E14" i="9" l="1"/>
  <c r="N27" i="8" s="1"/>
  <c r="C86" i="8"/>
  <c r="B14" i="9"/>
  <c r="C84" i="8"/>
  <c r="A14" i="9"/>
  <c r="N26" i="8" s="1"/>
  <c r="AD87" i="8"/>
  <c r="AD86" i="8"/>
  <c r="F87" i="8"/>
  <c r="F86" i="8"/>
  <c r="J87" i="8"/>
  <c r="J86" i="8"/>
  <c r="H82" i="8"/>
  <c r="C87" i="8"/>
  <c r="AH87" i="8"/>
  <c r="AH86" i="8"/>
  <c r="N87" i="8"/>
  <c r="N86" i="8"/>
  <c r="Z87" i="8"/>
  <c r="Z86" i="8"/>
  <c r="V87" i="8"/>
  <c r="V86" i="8"/>
  <c r="R87" i="8"/>
  <c r="R86" i="8"/>
  <c r="H81" i="8"/>
  <c r="C83" i="8"/>
  <c r="AE154" i="7"/>
  <c r="Z154" i="7"/>
  <c r="N31" i="8" l="1"/>
  <c r="N33" i="8"/>
  <c r="AE153" i="1"/>
  <c r="Z15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Starke</author>
  </authors>
  <commentList>
    <comment ref="V12" authorId="0" shapeId="0" xr:uid="{810B5B15-4236-4B69-96AB-74A2E2E87722}">
      <text>
        <r>
          <rPr>
            <b/>
            <sz val="9"/>
            <color indexed="81"/>
            <rFont val="Tahoma"/>
            <family val="2"/>
          </rPr>
          <t>Adam Starke:</t>
        </r>
        <r>
          <rPr>
            <sz val="9"/>
            <color indexed="81"/>
            <rFont val="Tahoma"/>
            <family val="2"/>
          </rPr>
          <t xml:space="preserve">
These I assume are just predicted todal heights and times at the nearest tide station. How's this incorporated into analysis.
To make tidy, need to merge column and row names- High tide Time, hight tide Elevation,
etc.
</t>
        </r>
      </text>
    </comment>
    <comment ref="S48" authorId="0" shapeId="0" xr:uid="{2338CA9D-47AF-4897-94D2-4F7CCC0F5E33}">
      <text>
        <r>
          <rPr>
            <b/>
            <sz val="9"/>
            <color indexed="81"/>
            <rFont val="Tahoma"/>
            <family val="2"/>
          </rPr>
          <t>Adam Starke:</t>
        </r>
        <r>
          <rPr>
            <sz val="9"/>
            <color indexed="81"/>
            <rFont val="Tahoma"/>
            <family val="2"/>
          </rPr>
          <t xml:space="preserve">
Similar to tide table above, to make tidy need to generate variables from column and row combinations.</t>
        </r>
      </text>
    </comment>
    <comment ref="A60" authorId="0" shapeId="0" xr:uid="{191F59BF-F9E0-41BC-B26D-86B355DD71FA}">
      <text>
        <r>
          <rPr>
            <b/>
            <sz val="9"/>
            <color indexed="81"/>
            <rFont val="Tahoma"/>
            <family val="2"/>
          </rPr>
          <t xml:space="preserve">Adam Starke:
Another untidy table…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idal Crossing Template" type="4" refreshedVersion="0" background="1">
    <webPr xml="1" sourceData="1" url="C:\Users\psteckler\Documents\Tidal Crossing Template.xml" htmlTables="1" htmlFormat="all"/>
  </connection>
</connections>
</file>

<file path=xl/sharedStrings.xml><?xml version="1.0" encoding="utf-8"?>
<sst xmlns="http://schemas.openxmlformats.org/spreadsheetml/2006/main" count="710" uniqueCount="321">
  <si>
    <t>Observer(s) &amp; Organization:</t>
  </si>
  <si>
    <t>Crossing ID:</t>
  </si>
  <si>
    <t>Date:</t>
  </si>
  <si>
    <t>Start Time:</t>
  </si>
  <si>
    <t>End Time:</t>
  </si>
  <si>
    <t>Downstream:</t>
  </si>
  <si>
    <t>Upstream:</t>
  </si>
  <si>
    <t>Fish and Wildlife Observations/Comments:</t>
  </si>
  <si>
    <t>Comments:</t>
  </si>
  <si>
    <t>Channel Width (ft.)</t>
  </si>
  <si>
    <t>Inundation Risk to Low-Lying Development (Non-Transportation)</t>
  </si>
  <si>
    <t>Upstream</t>
  </si>
  <si>
    <t>Downstream</t>
  </si>
  <si>
    <t>Observations of low-lying infrastructure visible from the crossing:</t>
  </si>
  <si>
    <t>Good condition</t>
  </si>
  <si>
    <t>Somewhat altered or impacted</t>
  </si>
  <si>
    <t>Highly altered or impacted</t>
  </si>
  <si>
    <t>Condition of Salt Marsh</t>
  </si>
  <si>
    <t>Built Infrastructure</t>
  </si>
  <si>
    <t>Berm</t>
  </si>
  <si>
    <t>Dike</t>
  </si>
  <si>
    <t>Seawall</t>
  </si>
  <si>
    <t>EOs or Exemplary Natural Communities:</t>
  </si>
  <si>
    <t>Natural Community</t>
  </si>
  <si>
    <t>Invasive Species</t>
  </si>
  <si>
    <t>Phragmites</t>
  </si>
  <si>
    <t>Narrowleaf cattail</t>
  </si>
  <si>
    <t>Perennial pepperweed</t>
  </si>
  <si>
    <t>Purple loosestrife</t>
  </si>
  <si>
    <t>Japanese Knotweed</t>
  </si>
  <si>
    <t>Max. Pool Width (ft.)</t>
  </si>
  <si>
    <t>Crossing Outlets Directly to:</t>
  </si>
  <si>
    <t>Atlantic Ocean</t>
  </si>
  <si>
    <t>Subtidal</t>
  </si>
  <si>
    <t>Number of:</t>
  </si>
  <si>
    <t>Downstream tidal restrictions</t>
  </si>
  <si>
    <t>Upstream tidal crossings</t>
  </si>
  <si>
    <t>Upstream tidal restrictions</t>
  </si>
  <si>
    <t>Natural Community Classification</t>
  </si>
  <si>
    <t>Low salt marsh</t>
  </si>
  <si>
    <t>High salt marsh</t>
  </si>
  <si>
    <t>Marsh elder shrubland</t>
  </si>
  <si>
    <t>Coastal salt pond marsh/meadow</t>
  </si>
  <si>
    <t>Brackish marsh</t>
  </si>
  <si>
    <t>Brackish riverbank marsh</t>
  </si>
  <si>
    <t>Freshwater marsh</t>
  </si>
  <si>
    <t>Freshwater swamp</t>
  </si>
  <si>
    <t>Invasives dominant</t>
  </si>
  <si>
    <t>Person Contacted:</t>
  </si>
  <si>
    <t>Affiliation:</t>
  </si>
  <si>
    <t>Age of Structure:</t>
  </si>
  <si>
    <t>Replacement Plans:</t>
  </si>
  <si>
    <t>Site Identified in Haz. Mit. Plan?</t>
  </si>
  <si>
    <t>Emergency Access or Evacuation Route?</t>
  </si>
  <si>
    <t>Other Comments:</t>
  </si>
  <si>
    <r>
      <t xml:space="preserve">History of Flooding:
</t>
    </r>
    <r>
      <rPr>
        <sz val="9"/>
        <color theme="1"/>
        <rFont val="Calibri"/>
        <family val="2"/>
        <scheme val="minor"/>
      </rPr>
      <t>(frequency or dates)</t>
    </r>
  </si>
  <si>
    <t>Crossing Condition</t>
  </si>
  <si>
    <t>HWI Stain</t>
  </si>
  <si>
    <t>HWI Wrack</t>
  </si>
  <si>
    <t>Ceiling of Structure</t>
  </si>
  <si>
    <t>TP Foresight</t>
  </si>
  <si>
    <t>TP Backsight</t>
  </si>
  <si>
    <t xml:space="preserve">Height at Road Centerline: </t>
  </si>
  <si>
    <t>Crossing Type:</t>
  </si>
  <si>
    <t>Round Culvert</t>
  </si>
  <si>
    <t>Elliptical Culvert</t>
  </si>
  <si>
    <t>Box Culvert</t>
  </si>
  <si>
    <t>Embedded Round Culvert</t>
  </si>
  <si>
    <t>Open Bottom Arch</t>
  </si>
  <si>
    <t>Bridge with Abutments</t>
  </si>
  <si>
    <t>Bridge with Side Slopes</t>
  </si>
  <si>
    <t>Structure Materials</t>
  </si>
  <si>
    <t>Structure Materials:</t>
  </si>
  <si>
    <t>Concrete</t>
  </si>
  <si>
    <t>Plastic-Corrugated</t>
  </si>
  <si>
    <t>Plastic-Smooth</t>
  </si>
  <si>
    <t>Stone</t>
  </si>
  <si>
    <t>Steel-Corrugated</t>
  </si>
  <si>
    <t>Steel-Smooth</t>
  </si>
  <si>
    <t>Aluminum-Corrugated</t>
  </si>
  <si>
    <t>Wood</t>
  </si>
  <si>
    <t>Other</t>
  </si>
  <si>
    <t>Dimension A:</t>
  </si>
  <si>
    <t>Dimension C:</t>
  </si>
  <si>
    <t>Dimension D:</t>
  </si>
  <si>
    <t>Crossing Dimensions (feet):</t>
  </si>
  <si>
    <t>Scour at Outlet</t>
  </si>
  <si>
    <t>None</t>
  </si>
  <si>
    <t>Low</t>
  </si>
  <si>
    <t>Medium</t>
  </si>
  <si>
    <t>High</t>
  </si>
  <si>
    <t>N/A</t>
  </si>
  <si>
    <t>Headwall Materials</t>
  </si>
  <si>
    <t>Metal</t>
  </si>
  <si>
    <t>Masonry</t>
  </si>
  <si>
    <t>Gabion</t>
  </si>
  <si>
    <t>Dry Fit Stone</t>
  </si>
  <si>
    <t>Headwall Condition</t>
  </si>
  <si>
    <t>Good</t>
  </si>
  <si>
    <t>Fair</t>
  </si>
  <si>
    <t>Poor</t>
  </si>
  <si>
    <t>Headwall Materials:</t>
  </si>
  <si>
    <t>Footer</t>
  </si>
  <si>
    <t>Culvert</t>
  </si>
  <si>
    <t>Severity of Scour</t>
  </si>
  <si>
    <t>Headwall Condition:</t>
  </si>
  <si>
    <t>Stream Name:</t>
  </si>
  <si>
    <t>Road Name:</t>
  </si>
  <si>
    <t>Bridge w/ S. Slopes and Abutments</t>
  </si>
  <si>
    <t>Abutment</t>
  </si>
  <si>
    <t>Watershed Land Cover/Use</t>
  </si>
  <si>
    <t>TBD</t>
  </si>
  <si>
    <t>of</t>
  </si>
  <si>
    <t xml:space="preserve">Structure </t>
  </si>
  <si>
    <t xml:space="preserve"> </t>
  </si>
  <si>
    <t>at Crossing</t>
  </si>
  <si>
    <t>Observations of Vegetation Die Back (due to salt water incursion) or Expansion of Mudflat:</t>
  </si>
  <si>
    <t>Downstream tidal crossings</t>
  </si>
  <si>
    <t>Ditch</t>
  </si>
  <si>
    <t>Sparsely vegetated intertidal habitat</t>
  </si>
  <si>
    <t>% wet.</t>
  </si>
  <si>
    <t>% for.</t>
  </si>
  <si>
    <t xml:space="preserve">% imp. </t>
  </si>
  <si>
    <t xml:space="preserve">% dev. </t>
  </si>
  <si>
    <t>Tide Prediction</t>
  </si>
  <si>
    <t>Time:</t>
  </si>
  <si>
    <t>Elevation:</t>
  </si>
  <si>
    <t>Tide Chart Location:</t>
  </si>
  <si>
    <t>Upstream view from above structure</t>
  </si>
  <si>
    <t>Downstream view from above structure</t>
  </si>
  <si>
    <t>Upstream view toward structure</t>
  </si>
  <si>
    <t>①</t>
  </si>
  <si>
    <t>②</t>
  </si>
  <si>
    <t>③</t>
  </si>
  <si>
    <t>④</t>
  </si>
  <si>
    <t xml:space="preserve">Low Tide Perch: </t>
  </si>
  <si>
    <t xml:space="preserve">High Tide Perch: </t>
  </si>
  <si>
    <t>Scour In Structure</t>
  </si>
  <si>
    <t>Headwall</t>
  </si>
  <si>
    <t>Channel</t>
  </si>
  <si>
    <t>Scour At Structure</t>
  </si>
  <si>
    <t>Armoring</t>
  </si>
  <si>
    <t>Distance</t>
  </si>
  <si>
    <t>Height</t>
  </si>
  <si>
    <t>Feature Code</t>
  </si>
  <si>
    <t>Describe Control Point:</t>
  </si>
  <si>
    <t>Sub-
strate</t>
  </si>
  <si>
    <t>Feature</t>
  </si>
  <si>
    <t>Road Surface</t>
  </si>
  <si>
    <t>US Height</t>
  </si>
  <si>
    <t>DS Height</t>
  </si>
  <si>
    <t>Low Tide Water Elevation</t>
  </si>
  <si>
    <t>IF NEEDED:</t>
  </si>
  <si>
    <t>The plant community appears to be the same on both sides of the crossing; both sides are occupied by tidal marsh of similar species and structure.</t>
  </si>
  <si>
    <t>The up and downstream plant communities appear different (i.e. two different expressions of tidal marsh are on either side of the crossing).</t>
  </si>
  <si>
    <t xml:space="preserve">The up and downstream plant communities are different.  One side is tidal marsh, while the other side is unvegetated, open water, un-naturally modified (ie. armored, channelled), or is occupied by a completely different structure or suite of plants.   </t>
  </si>
  <si>
    <t xml:space="preserve">Native plant species only </t>
  </si>
  <si>
    <t>Invasive plants prevalent over a wide area of the marsh plain on both sides of the crossing*</t>
  </si>
  <si>
    <t xml:space="preserve">Invasive plants present within the marsh plain near one side of the crossing, and absent (or present in a constricted area close to the crossing) on the other side </t>
  </si>
  <si>
    <t>Shot From (R/U/D)</t>
  </si>
  <si>
    <t>Invasive Species Present within Marsh Plain</t>
  </si>
  <si>
    <t>(note invasives if present on road fill but not within marsh plain)</t>
  </si>
  <si>
    <r>
      <t>Indicate in the solid outlined boxes</t>
    </r>
    <r>
      <rPr>
        <sz val="9"/>
        <color theme="1"/>
        <rFont val="Calibri"/>
        <family val="2"/>
        <scheme val="minor"/>
      </rPr>
      <t xml:space="preserve"> if the elevation was taken from the: 
          </t>
    </r>
    <r>
      <rPr>
        <b/>
        <sz val="9"/>
        <color theme="1"/>
        <rFont val="Calibri"/>
        <family val="2"/>
        <scheme val="minor"/>
      </rPr>
      <t>R</t>
    </r>
    <r>
      <rPr>
        <sz val="9"/>
        <color theme="1"/>
        <rFont val="Calibri"/>
        <family val="2"/>
        <scheme val="minor"/>
      </rPr>
      <t>oadway level setup (</t>
    </r>
    <r>
      <rPr>
        <b/>
        <sz val="9"/>
        <color theme="1"/>
        <rFont val="Calibri"/>
        <family val="2"/>
        <scheme val="minor"/>
      </rPr>
      <t>R</t>
    </r>
    <r>
      <rPr>
        <sz val="9"/>
        <color theme="1"/>
        <rFont val="Calibri"/>
        <family val="2"/>
        <scheme val="minor"/>
      </rPr>
      <t xml:space="preserve">)
          </t>
    </r>
    <r>
      <rPr>
        <b/>
        <sz val="9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>pstream level setup (</t>
    </r>
    <r>
      <rPr>
        <b/>
        <sz val="9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 xml:space="preserve">)
          </t>
    </r>
    <r>
      <rPr>
        <b/>
        <sz val="9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ownstream level setup (</t>
    </r>
    <r>
      <rPr>
        <b/>
        <sz val="9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)</t>
    </r>
  </si>
  <si>
    <t>Height of Established Control Point:</t>
  </si>
  <si>
    <t>QC - Height of Established Control Point:</t>
  </si>
  <si>
    <t>Stream Channel Longitudinal Profile</t>
  </si>
  <si>
    <t>Entire Upstream Watershed (acres)</t>
  </si>
  <si>
    <t>Upstream Evaluation Unit (acres)</t>
  </si>
  <si>
    <t>Photo File Names:</t>
  </si>
  <si>
    <t>Municipality:</t>
  </si>
  <si>
    <r>
      <t>Watershed Area (mi.</t>
    </r>
    <r>
      <rPr>
        <sz val="11"/>
        <color theme="1"/>
        <rFont val="Calibri"/>
        <family val="2"/>
      </rPr>
      <t>²</t>
    </r>
    <r>
      <rPr>
        <sz val="11"/>
        <color theme="1"/>
        <rFont val="Calibri"/>
        <family val="2"/>
        <scheme val="minor"/>
      </rPr>
      <t>)</t>
    </r>
  </si>
  <si>
    <t>Salt Marsh Area (acres)</t>
  </si>
  <si>
    <t>Pipe Arch Culvert</t>
  </si>
  <si>
    <t>Embedded Elliptical Culvert</t>
  </si>
  <si>
    <t>Embedded Pipe Arch Culvert</t>
  </si>
  <si>
    <t>Arch Bridge</t>
  </si>
  <si>
    <t>Wingwalls</t>
  </si>
  <si>
    <t>Wingwall Materials:</t>
  </si>
  <si>
    <t>Riprap</t>
  </si>
  <si>
    <t>Wingwall Condition:</t>
  </si>
  <si>
    <t>Structure Condition - Overall</t>
  </si>
  <si>
    <t>Road Surface Condition</t>
  </si>
  <si>
    <t>Crossing Type &amp; Condition Comments:</t>
  </si>
  <si>
    <t>Salt Marsh Migration Potential</t>
  </si>
  <si>
    <t>Ecological</t>
  </si>
  <si>
    <t>Landscape Position</t>
  </si>
  <si>
    <r>
      <t>Field confirmation (</t>
    </r>
    <r>
      <rPr>
        <b/>
        <sz val="11"/>
        <color theme="1"/>
        <rFont val="ESRI Default Marker"/>
      </rPr>
      <t>i</t>
    </r>
    <r>
      <rPr>
        <b/>
        <sz val="11"/>
        <color theme="1"/>
        <rFont val="Calibri"/>
        <family val="2"/>
        <scheme val="minor"/>
      </rPr>
      <t>) or correction of NWI classification:</t>
    </r>
  </si>
  <si>
    <t>UPSTREAM</t>
  </si>
  <si>
    <t>DOWNSTREAM</t>
  </si>
  <si>
    <t>Scour
Severity</t>
  </si>
  <si>
    <t>Scour at Structure</t>
  </si>
  <si>
    <t>Scour in
Structure</t>
  </si>
  <si>
    <t>NWI marsh classification (from desktop evaluation):</t>
  </si>
  <si>
    <t>Sketch of Structure</t>
  </si>
  <si>
    <t>Ancillary Uses at Crossing 
(e.g. fishing, swimming)</t>
  </si>
  <si>
    <t>Utilities at Crossing:</t>
  </si>
  <si>
    <t>describe:</t>
  </si>
  <si>
    <t>Photo Comments</t>
  </si>
  <si>
    <t>Channel and Pool Widths</t>
  </si>
  <si>
    <t>Field Assessment End Time:</t>
  </si>
  <si>
    <r>
      <t>Dimension B</t>
    </r>
    <r>
      <rPr>
        <b/>
        <vertAlign val="superscript"/>
        <sz val="11"/>
        <color theme="1"/>
        <rFont val="Calibri"/>
        <family val="2"/>
        <scheme val="minor"/>
      </rPr>
      <t>CB</t>
    </r>
    <r>
      <rPr>
        <b/>
        <sz val="11"/>
        <color theme="1"/>
        <rFont val="Calibri"/>
        <family val="2"/>
        <scheme val="minor"/>
      </rPr>
      <t>:</t>
    </r>
  </si>
  <si>
    <r>
      <t>Dimension B</t>
    </r>
    <r>
      <rPr>
        <b/>
        <vertAlign val="superscript"/>
        <sz val="11"/>
        <color theme="1"/>
        <rFont val="Calibri"/>
        <family val="2"/>
        <scheme val="minor"/>
      </rPr>
      <t>LT</t>
    </r>
    <r>
      <rPr>
        <b/>
        <sz val="11"/>
        <color theme="1"/>
        <rFont val="Calibri"/>
        <family val="2"/>
        <scheme val="minor"/>
      </rPr>
      <t>:</t>
    </r>
  </si>
  <si>
    <t>General Assessment Notes:</t>
  </si>
  <si>
    <t xml:space="preserve"> Scour Severity in Structure</t>
  </si>
  <si>
    <t>Crossing Cross Section</t>
  </si>
  <si>
    <t>Rip Rap</t>
  </si>
  <si>
    <t>Condition of Salt Marsh or Wetland Habitat:</t>
  </si>
  <si>
    <t>Other Infrastructure:</t>
  </si>
  <si>
    <t>Number of Upstream Infrastructure Impacts Associated with 1.7' SLR by 2050 (MHHW):</t>
  </si>
  <si>
    <r>
      <t xml:space="preserve">Number of Upstream Infrastructure Impacts Associated with the 2015 SLAMM Return with </t>
    </r>
    <r>
      <rPr>
        <u/>
        <sz val="11"/>
        <color theme="1"/>
        <rFont val="Calibri"/>
        <family val="2"/>
        <scheme val="minor"/>
      </rPr>
      <t>1% Annual Flood Hazard:</t>
    </r>
  </si>
  <si>
    <r>
      <t xml:space="preserve">Is the Road Surface at the Crossing Inundated at 1.7' SLR by 2050 </t>
    </r>
    <r>
      <rPr>
        <u/>
        <sz val="11"/>
        <color theme="1"/>
        <rFont val="Calibri"/>
        <family val="2"/>
        <scheme val="minor"/>
      </rPr>
      <t>with 1% Annual Flood Hazard:</t>
    </r>
  </si>
  <si>
    <t>Is the Road Surface at the Crossing Inundated at 1.7' SLR by 2050 (MHHW):</t>
  </si>
  <si>
    <t>NWI Classification Immediately Upstream and Downstream of the Crossing:</t>
  </si>
  <si>
    <t>Natural Heritage Bureau Element Occurrences (within 0.25 miles of the crossing):</t>
  </si>
  <si>
    <t>Area of potential upstream salt marsh migration using the 1.7' SLR by 2050 SLAMM return with connectivity "on":</t>
  </si>
  <si>
    <t>Channel &amp; Pool Width Comments:</t>
  </si>
  <si>
    <t>Inundation Risk to the Roadway</t>
  </si>
  <si>
    <r>
      <t>SITE VISIT DETAILS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</si>
  <si>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LOW TIDE PHOTOS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</si>
  <si>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CROSSING TYPE &amp; CONDITION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</si>
  <si>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CROSSING CROSS SECTION AND LONGITUDINAL PROFILE (</t>
    </r>
    <r>
      <rPr>
        <b/>
        <i/>
        <sz val="11"/>
        <rFont val="Calibri"/>
        <family val="2"/>
        <scheme val="minor"/>
      </rPr>
      <t>field assessment</t>
    </r>
    <r>
      <rPr>
        <b/>
        <sz val="11"/>
        <rFont val="Calibri"/>
        <family val="2"/>
        <scheme val="minor"/>
      </rPr>
      <t>)</t>
    </r>
  </si>
  <si>
    <r>
      <t>SALT MARSH VEGETATION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</si>
  <si>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OTHER SITE OBSERVATIONS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</si>
  <si>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INFRASTRUCTURE MANAGEMENT (</t>
    </r>
    <r>
      <rPr>
        <b/>
        <i/>
        <sz val="11"/>
        <color theme="1"/>
        <rFont val="Calibri"/>
        <family val="2"/>
        <scheme val="minor"/>
      </rPr>
      <t>desktop assessment</t>
    </r>
    <r>
      <rPr>
        <b/>
        <sz val="11"/>
        <color theme="1"/>
        <rFont val="Calibri"/>
        <family val="2"/>
        <scheme val="minor"/>
      </rPr>
      <t>)</t>
    </r>
  </si>
  <si>
    <r>
      <t>GIS-BASED CROSSING INFORMATION (</t>
    </r>
    <r>
      <rPr>
        <b/>
        <i/>
        <sz val="11"/>
        <color theme="1"/>
        <rFont val="Calibri"/>
        <family val="2"/>
        <scheme val="minor"/>
      </rPr>
      <t>desktop assessment</t>
    </r>
    <r>
      <rPr>
        <b/>
        <sz val="11"/>
        <color theme="1"/>
        <rFont val="Calibri"/>
        <family val="2"/>
        <scheme val="minor"/>
      </rPr>
      <t>)</t>
    </r>
  </si>
  <si>
    <r>
      <t xml:space="preserve">Vegetation Comparison Matrix
</t>
    </r>
    <r>
      <rPr>
        <b/>
        <i/>
        <sz val="12"/>
        <color theme="1"/>
        <rFont val="Calibri"/>
        <family val="2"/>
        <scheme val="minor"/>
      </rPr>
      <t>(check the box that applies)</t>
    </r>
  </si>
  <si>
    <t>C</t>
  </si>
  <si>
    <t>LiDAR Height @ CL</t>
  </si>
  <si>
    <t>US HWI Stain</t>
  </si>
  <si>
    <t>Dist.</t>
  </si>
  <si>
    <t>Hght.</t>
  </si>
  <si>
    <t>US HWI Wrack</t>
  </si>
  <si>
    <t>US Marsh Plain</t>
  </si>
  <si>
    <t>Marsh Plain Shot 1</t>
  </si>
  <si>
    <t>Marsh Plain Shot 2</t>
  </si>
  <si>
    <t>Marsh Plain Shot 3</t>
  </si>
  <si>
    <t>Marsh Plain Shot 4</t>
  </si>
  <si>
    <t>US Low Water</t>
  </si>
  <si>
    <t>DS HWI Stain</t>
  </si>
  <si>
    <t>DS HWI Wrack</t>
  </si>
  <si>
    <t>DS Marsh Plain</t>
  </si>
  <si>
    <t>DS Low Water</t>
  </si>
  <si>
    <t>Road Profile</t>
  </si>
  <si>
    <t>RS</t>
  </si>
  <si>
    <t>CL</t>
  </si>
  <si>
    <t>Road Width</t>
  </si>
  <si>
    <t>US Invert Distance</t>
  </si>
  <si>
    <t>DS Invert Distance</t>
  </si>
  <si>
    <t>Ceiling</t>
  </si>
  <si>
    <t>CELL LINKS FROM "Data Sheet FIELD" Worksheet</t>
  </si>
  <si>
    <t>Auto Processed Processed Field Data (Manually Enter Yellow Fields)</t>
  </si>
  <si>
    <t>Crossing Condition Evaluation</t>
  </si>
  <si>
    <t>Tidal Restriction Evaluation</t>
  </si>
  <si>
    <t>Tidal Range Ratio</t>
  </si>
  <si>
    <t>Tidal Restriction Overall Score</t>
  </si>
  <si>
    <t>Tidal Aquatic Organism Passage</t>
  </si>
  <si>
    <t>Salt Marsh Migration Evaluation</t>
  </si>
  <si>
    <t>Vegetation Evaluation</t>
  </si>
  <si>
    <t>Vegetation Comparison Matrix</t>
  </si>
  <si>
    <t>Infrastructure Risk Evaluation</t>
  </si>
  <si>
    <t>Adverse Impacts Evaluation</t>
  </si>
  <si>
    <t>Score</t>
  </si>
  <si>
    <t>Crossing Ratio (US, DS)</t>
  </si>
  <si>
    <t>Erosion Classification (US, DS)</t>
  </si>
  <si>
    <t>Salt Marsh Migration Potential (Eval. Unit)</t>
  </si>
  <si>
    <t>Salt Marsh Migration Potential (Wshed.)</t>
  </si>
  <si>
    <t>Inundation Risk to the Roadway (US, DS)</t>
  </si>
  <si>
    <t>Inun. Risk to the Crossing Structure (US, DS)</t>
  </si>
  <si>
    <t>Inundation Risk to Low-Lying Development</t>
  </si>
  <si>
    <t>Overall Scores (Draft)</t>
  </si>
  <si>
    <t>Infrastructure</t>
  </si>
  <si>
    <t>Combined</t>
  </si>
  <si>
    <t>Downstream view toward structure</t>
  </si>
  <si>
    <t>DS view toward structure</t>
  </si>
  <si>
    <t>US view above structure</t>
  </si>
  <si>
    <t>US view toward structure</t>
  </si>
  <si>
    <t>DS view above structure</t>
  </si>
  <si>
    <r>
      <rPr>
        <sz val="16"/>
        <color theme="1"/>
        <rFont val="Constantia"/>
        <family val="1"/>
      </rPr>
      <t xml:space="preserve">Tidal Crossing Summary Sheet
</t>
    </r>
    <r>
      <rPr>
        <i/>
        <sz val="11"/>
        <color theme="1"/>
        <rFont val="Constantia"/>
        <family val="1"/>
      </rPr>
      <t>New Hampshire’s Tidal Crossing Assessment Protocol</t>
    </r>
  </si>
  <si>
    <t>Feat.</t>
  </si>
  <si>
    <t>Sub.</t>
  </si>
  <si>
    <r>
      <t xml:space="preserve">New Hampshire’s Tidal Crossing Assessment Protocol Data Sheet
</t>
    </r>
    <r>
      <rPr>
        <sz val="12"/>
        <color theme="1"/>
        <rFont val="Constantia"/>
        <family val="1"/>
      </rPr>
      <t>(</t>
    </r>
    <r>
      <rPr>
        <i/>
        <sz val="12"/>
        <color theme="1"/>
        <rFont val="Constantia"/>
        <family val="1"/>
      </rPr>
      <t>v. 7/17</t>
    </r>
    <r>
      <rPr>
        <sz val="12"/>
        <color theme="1"/>
        <rFont val="Constantia"/>
        <family val="1"/>
      </rPr>
      <t>)</t>
    </r>
  </si>
  <si>
    <t>Long. Profile</t>
  </si>
  <si>
    <t>Insert site map</t>
  </si>
  <si>
    <t>* If invasive species are prevalent in the plant community on both sides of the crossing, there is another issue beyond the crossing that is affecting the vegetation.  A vegetation comparison is unlikely to help understand inundation and salinity conditions at a site with these conditions.</t>
  </si>
  <si>
    <t>Erosion Classification</t>
  </si>
  <si>
    <t>High scour severity</t>
  </si>
  <si>
    <t>Percentage</t>
  </si>
  <si>
    <t>No side slopes</t>
  </si>
  <si>
    <t>With side slopes</t>
  </si>
  <si>
    <t>Crossing Ratio - Upstream</t>
  </si>
  <si>
    <t>Crossing ratio - Downstream</t>
  </si>
  <si>
    <t>Infrastructure Risk to Roadway</t>
  </si>
  <si>
    <t>Inundation Risk to Crossing Structure</t>
  </si>
  <si>
    <t>R</t>
  </si>
  <si>
    <t>U</t>
  </si>
  <si>
    <t>D</t>
  </si>
  <si>
    <t>X</t>
  </si>
  <si>
    <t>Height of Established Control Point R:</t>
  </si>
  <si>
    <t>Height of Established Control Point U:</t>
  </si>
  <si>
    <t>Height of Established Control Point D:</t>
  </si>
  <si>
    <t>Height of Established Control Point X:</t>
  </si>
  <si>
    <t>HC</t>
  </si>
  <si>
    <t>P</t>
  </si>
  <si>
    <t>GC</t>
  </si>
  <si>
    <t>I</t>
  </si>
  <si>
    <t>Matthew Grasso, and Matthew Hamilton</t>
  </si>
  <si>
    <t>Shelter Island</t>
  </si>
  <si>
    <t>Dickerson Creek</t>
  </si>
  <si>
    <t>South Midway Road</t>
  </si>
  <si>
    <t>0.76 ft</t>
  </si>
  <si>
    <t>Sag Harbor</t>
  </si>
  <si>
    <t>Matthew Grasso, Matthew Hamilton</t>
  </si>
  <si>
    <t xml:space="preserve">describe: </t>
  </si>
  <si>
    <t>① 1220</t>
  </si>
  <si>
    <t>② 1217</t>
  </si>
  <si>
    <t>③ 1219</t>
  </si>
  <si>
    <t>④ 1218</t>
  </si>
  <si>
    <t>G</t>
  </si>
  <si>
    <t>C/S</t>
  </si>
  <si>
    <t>KEY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</si>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</sst>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36" x14ac:knownFonts="1">
    <font>
      <sz val="11"/>
      <color theme="1"/>
      <name val="Calibri"/>
      <family val="2"/>
      <scheme val="minor"/>
    </font>
    <font>
      <sz val="16"/>
      <color theme="1"/>
      <name val="Constantia"/>
      <family val="1"/>
    </font>
    <font>
      <sz val="11"/>
      <color theme="1"/>
      <name val="Constantia"/>
      <family val="1"/>
    </font>
    <font>
      <i/>
      <sz val="11"/>
      <color theme="1"/>
      <name val="Constantia"/>
      <family val="1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ESRI Default Marke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.7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sz val="12"/>
      <color theme="1"/>
      <name val="Constantia"/>
      <family val="1"/>
    </font>
    <font>
      <i/>
      <sz val="12"/>
      <color theme="1"/>
      <name val="Constantia"/>
      <family val="1"/>
    </font>
    <font>
      <b/>
      <u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5117038483843"/>
        <bgColor theme="0" tint="-0.499984740745262"/>
      </patternFill>
    </fill>
    <fill>
      <patternFill patternType="solid">
        <fgColor indexed="65"/>
        <bgColor indexed="64"/>
      </patternFill>
    </fill>
    <fill>
      <patternFill patternType="solid">
        <fgColor theme="6" tint="0.59999389629810485"/>
        <bgColor theme="0" tint="-0.499984740745262"/>
      </patternFill>
    </fill>
    <fill>
      <patternFill patternType="solid">
        <fgColor rgb="FFDCE6F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00"/>
        <bgColor indexed="64"/>
      </patternFill>
    </fill>
    <fill>
      <patternFill patternType="lightUp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</fills>
  <borders count="6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790">
    <xf numFmtId="0" fontId="0" fillId="0" borderId="0" xfId="0"/>
    <xf numFmtId="0" fontId="0" fillId="0" borderId="0" xfId="0" applyAlignment="1"/>
    <xf numFmtId="0" fontId="4" fillId="0" borderId="0" xfId="0" applyFont="1" applyAlignment="1">
      <alignment horizontal="center"/>
    </xf>
    <xf numFmtId="0" fontId="0" fillId="3" borderId="0" xfId="0" applyFill="1"/>
    <xf numFmtId="0" fontId="0" fillId="2" borderId="0" xfId="0" applyFill="1"/>
    <xf numFmtId="0" fontId="0" fillId="0" borderId="0" xfId="0" applyBorder="1"/>
    <xf numFmtId="0" fontId="4" fillId="0" borderId="0" xfId="0" applyFont="1" applyFill="1" applyAlignment="1">
      <alignment horizontal="center"/>
    </xf>
    <xf numFmtId="0" fontId="0" fillId="0" borderId="0" xfId="0" applyFill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0" fillId="3" borderId="0" xfId="0" applyFill="1" applyBorder="1"/>
    <xf numFmtId="0" fontId="0" fillId="0" borderId="0" xfId="0" applyAlignment="1">
      <alignment wrapText="1"/>
    </xf>
    <xf numFmtId="0" fontId="0" fillId="2" borderId="0" xfId="0" applyFill="1" applyBorder="1"/>
    <xf numFmtId="0" fontId="0" fillId="0" borderId="0" xfId="0" applyFont="1" applyFill="1" applyAlignment="1">
      <alignment vertical="center" wrapText="1"/>
    </xf>
    <xf numFmtId="0" fontId="0" fillId="6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0" fillId="0" borderId="0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13" fillId="0" borderId="0" xfId="0" applyFont="1"/>
    <xf numFmtId="0" fontId="4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/>
    <xf numFmtId="0" fontId="0" fillId="0" borderId="20" xfId="0" applyFill="1" applyBorder="1" applyAlignment="1"/>
    <xf numFmtId="0" fontId="0" fillId="10" borderId="0" xfId="0" applyFill="1"/>
    <xf numFmtId="0" fontId="0" fillId="9" borderId="0" xfId="0" applyFill="1"/>
    <xf numFmtId="0" fontId="4" fillId="0" borderId="0" xfId="0" applyFont="1" applyFill="1" applyBorder="1" applyAlignment="1"/>
    <xf numFmtId="0" fontId="0" fillId="8" borderId="0" xfId="0" applyFill="1"/>
    <xf numFmtId="0" fontId="4" fillId="0" borderId="0" xfId="0" applyFont="1" applyFill="1" applyAlignment="1">
      <alignment vertical="center"/>
    </xf>
    <xf numFmtId="0" fontId="11" fillId="0" borderId="0" xfId="0" applyFont="1" applyBorder="1" applyAlignment="1">
      <alignment vertical="top"/>
    </xf>
    <xf numFmtId="0" fontId="0" fillId="0" borderId="10" xfId="0" applyBorder="1"/>
    <xf numFmtId="0" fontId="6" fillId="0" borderId="0" xfId="0" applyFont="1" applyFill="1" applyBorder="1" applyAlignment="1">
      <alignment textRotation="90" wrapText="1"/>
    </xf>
    <xf numFmtId="0" fontId="0" fillId="0" borderId="0" xfId="0" applyFill="1" applyBorder="1" applyAlignment="1">
      <alignment wrapText="1"/>
    </xf>
    <xf numFmtId="0" fontId="0" fillId="4" borderId="0" xfId="0" applyFill="1"/>
    <xf numFmtId="0" fontId="0" fillId="4" borderId="20" xfId="0" applyFill="1" applyBorder="1"/>
    <xf numFmtId="0" fontId="0" fillId="10" borderId="20" xfId="0" applyFill="1" applyBorder="1" applyAlignment="1"/>
    <xf numFmtId="0" fontId="0" fillId="8" borderId="20" xfId="0" applyFill="1" applyBorder="1"/>
    <xf numFmtId="0" fontId="0" fillId="9" borderId="20" xfId="0" applyFill="1" applyBorder="1"/>
    <xf numFmtId="0" fontId="0" fillId="0" borderId="0" xfId="0"/>
    <xf numFmtId="0" fontId="0" fillId="4" borderId="51" xfId="0" applyFill="1" applyBorder="1"/>
    <xf numFmtId="0" fontId="0" fillId="10" borderId="51" xfId="0" applyFill="1" applyBorder="1" applyAlignment="1"/>
    <xf numFmtId="0" fontId="0" fillId="0" borderId="10" xfId="0" applyFont="1" applyFill="1" applyBorder="1" applyAlignment="1">
      <alignment vertical="top" wrapText="1"/>
    </xf>
    <xf numFmtId="0" fontId="0" fillId="0" borderId="10" xfId="0" applyFont="1" applyBorder="1" applyAlignment="1">
      <alignment horizontal="left"/>
    </xf>
    <xf numFmtId="0" fontId="0" fillId="0" borderId="10" xfId="0" applyFont="1" applyFill="1" applyBorder="1" applyAlignment="1">
      <alignment wrapText="1"/>
    </xf>
    <xf numFmtId="0" fontId="9" fillId="0" borderId="0" xfId="0" applyFont="1" applyBorder="1" applyAlignment="1">
      <alignment vertical="top" wrapText="1"/>
    </xf>
    <xf numFmtId="0" fontId="0" fillId="0" borderId="0" xfId="0" applyBorder="1" applyAlignment="1">
      <alignment horizontal="center" wrapText="1"/>
    </xf>
    <xf numFmtId="0" fontId="9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Alignme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vertical="center"/>
    </xf>
    <xf numFmtId="0" fontId="4" fillId="0" borderId="0" xfId="0" applyFont="1"/>
    <xf numFmtId="0" fontId="4" fillId="0" borderId="0" xfId="0" applyFont="1" applyFill="1" applyAlignment="1">
      <alignment horizontal="left"/>
    </xf>
    <xf numFmtId="0" fontId="10" fillId="0" borderId="61" xfId="0" applyFont="1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61" xfId="0" applyBorder="1" applyAlignment="1">
      <alignment horizontal="center" wrapText="1"/>
    </xf>
    <xf numFmtId="0" fontId="0" fillId="0" borderId="0" xfId="0" applyAlignment="1">
      <alignment horizontal="right" vertical="top" wrapText="1"/>
    </xf>
    <xf numFmtId="0" fontId="0" fillId="0" borderId="62" xfId="0" applyBorder="1" applyAlignment="1">
      <alignment horizontal="right" vertical="top" wrapText="1"/>
    </xf>
    <xf numFmtId="0" fontId="0" fillId="0" borderId="62" xfId="0" applyBorder="1" applyAlignment="1">
      <alignment horizontal="center" wrapText="1"/>
    </xf>
    <xf numFmtId="0" fontId="0" fillId="0" borderId="0" xfId="0" applyFont="1" applyAlignment="1"/>
    <xf numFmtId="0" fontId="0" fillId="0" borderId="2" xfId="0" applyBorder="1"/>
    <xf numFmtId="0" fontId="0" fillId="0" borderId="26" xfId="0" applyBorder="1" applyAlignment="1">
      <alignment horizontal="left" wrapText="1"/>
    </xf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26" xfId="0" applyBorder="1" applyAlignment="1"/>
    <xf numFmtId="0" fontId="0" fillId="0" borderId="26" xfId="0" applyFont="1" applyBorder="1" applyAlignment="1">
      <alignment horizontal="left" wrapText="1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Alignment="1"/>
    <xf numFmtId="0" fontId="13" fillId="0" borderId="0" xfId="0" applyFont="1" applyBorder="1" applyAlignment="1">
      <alignment vertical="center" wrapText="1"/>
    </xf>
    <xf numFmtId="0" fontId="18" fillId="0" borderId="0" xfId="0" applyFont="1" applyBorder="1" applyAlignment="1">
      <alignment horizontal="center" vertical="top" wrapText="1"/>
    </xf>
    <xf numFmtId="0" fontId="13" fillId="0" borderId="7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center" wrapText="1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5" fillId="0" borderId="0" xfId="0" applyFont="1" applyBorder="1" applyAlignment="1">
      <alignment vertical="center" textRotation="90"/>
    </xf>
    <xf numFmtId="0" fontId="11" fillId="0" borderId="0" xfId="0" applyFont="1" applyBorder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10" fillId="0" borderId="0" xfId="0" applyFont="1" applyBorder="1" applyAlignment="1">
      <alignment horizontal="left"/>
    </xf>
    <xf numFmtId="0" fontId="4" fillId="0" borderId="62" xfId="0" applyFont="1" applyBorder="1" applyAlignment="1">
      <alignment horizontal="center"/>
    </xf>
    <xf numFmtId="0" fontId="4" fillId="0" borderId="62" xfId="0" applyFont="1" applyFill="1" applyBorder="1" applyAlignment="1">
      <alignment horizontal="center"/>
    </xf>
    <xf numFmtId="0" fontId="4" fillId="0" borderId="0" xfId="0" applyFont="1" applyFill="1"/>
    <xf numFmtId="0" fontId="4" fillId="8" borderId="0" xfId="0" applyFont="1" applyFill="1"/>
    <xf numFmtId="0" fontId="4" fillId="9" borderId="0" xfId="0" applyFont="1" applyFill="1"/>
    <xf numFmtId="0" fontId="6" fillId="9" borderId="0" xfId="0" applyFont="1" applyFill="1" applyBorder="1" applyAlignment="1"/>
    <xf numFmtId="0" fontId="4" fillId="9" borderId="0" xfId="0" applyFont="1" applyFill="1" applyBorder="1" applyAlignment="1">
      <alignment vertical="center"/>
    </xf>
    <xf numFmtId="0" fontId="6" fillId="8" borderId="0" xfId="0" applyFont="1" applyFill="1" applyBorder="1" applyAlignment="1"/>
    <xf numFmtId="0" fontId="4" fillId="8" borderId="0" xfId="0" applyFont="1" applyFill="1" applyBorder="1" applyAlignment="1">
      <alignment vertical="center"/>
    </xf>
    <xf numFmtId="0" fontId="6" fillId="9" borderId="0" xfId="0" applyFont="1" applyFill="1" applyAlignment="1">
      <alignment horizontal="center" vertical="center" textRotation="90"/>
    </xf>
    <xf numFmtId="0" fontId="6" fillId="8" borderId="0" xfId="0" applyFont="1" applyFill="1" applyAlignment="1">
      <alignment horizontal="center" vertical="center" textRotation="90"/>
    </xf>
    <xf numFmtId="0" fontId="20" fillId="0" borderId="0" xfId="0" applyFont="1"/>
    <xf numFmtId="0" fontId="4" fillId="0" borderId="0" xfId="0" applyFont="1" applyAlignment="1">
      <alignment vertical="top"/>
    </xf>
    <xf numFmtId="0" fontId="6" fillId="0" borderId="0" xfId="0" applyFont="1"/>
    <xf numFmtId="0" fontId="6" fillId="0" borderId="10" xfId="0" applyFont="1" applyBorder="1"/>
    <xf numFmtId="0" fontId="0" fillId="0" borderId="62" xfId="0" applyBorder="1"/>
    <xf numFmtId="0" fontId="11" fillId="0" borderId="62" xfId="0" applyFont="1" applyBorder="1" applyAlignment="1">
      <alignment horizontal="left" vertical="top" wrapText="1"/>
    </xf>
    <xf numFmtId="0" fontId="2" fillId="0" borderId="62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left"/>
    </xf>
    <xf numFmtId="0" fontId="4" fillId="0" borderId="0" xfId="0" applyFont="1" applyFill="1" applyAlignment="1">
      <alignment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Alignment="1"/>
    <xf numFmtId="0" fontId="4" fillId="0" borderId="0" xfId="0" applyFont="1" applyAlignment="1">
      <alignment horizontal="left"/>
    </xf>
    <xf numFmtId="0" fontId="6" fillId="9" borderId="0" xfId="0" applyFont="1" applyFill="1" applyAlignment="1">
      <alignment horizontal="center" vertical="center" textRotation="90"/>
    </xf>
    <xf numFmtId="0" fontId="4" fillId="0" borderId="0" xfId="0" applyFont="1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wrapText="1"/>
    </xf>
    <xf numFmtId="0" fontId="6" fillId="8" borderId="0" xfId="0" applyFont="1" applyFill="1" applyAlignment="1">
      <alignment horizontal="center" vertical="center" textRotation="90"/>
    </xf>
    <xf numFmtId="0" fontId="9" fillId="0" borderId="26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left"/>
    </xf>
    <xf numFmtId="2" fontId="0" fillId="4" borderId="20" xfId="0" applyNumberFormat="1" applyFill="1" applyBorder="1"/>
    <xf numFmtId="2" fontId="0" fillId="4" borderId="51" xfId="0" applyNumberFormat="1" applyFill="1" applyBorder="1"/>
    <xf numFmtId="0" fontId="0" fillId="0" borderId="0" xfId="0" applyFill="1" applyBorder="1"/>
    <xf numFmtId="0" fontId="0" fillId="0" borderId="63" xfId="0" applyFill="1" applyBorder="1"/>
    <xf numFmtId="0" fontId="0" fillId="0" borderId="1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31" xfId="0" applyBorder="1" applyAlignment="1">
      <alignment vertic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0" fillId="14" borderId="0" xfId="0" applyFill="1"/>
    <xf numFmtId="0" fontId="0" fillId="14" borderId="0" xfId="0" applyFill="1" applyAlignment="1">
      <alignment horizontal="center"/>
    </xf>
    <xf numFmtId="165" fontId="0" fillId="14" borderId="0" xfId="0" applyNumberFormat="1" applyFill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4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65" xfId="0" applyBorder="1"/>
    <xf numFmtId="0" fontId="11" fillId="0" borderId="0" xfId="0" applyFont="1" applyBorder="1" applyAlignment="1">
      <alignment horizontal="center" vertical="center"/>
    </xf>
    <xf numFmtId="0" fontId="13" fillId="0" borderId="0" xfId="0" applyFont="1" applyFill="1" applyBorder="1"/>
    <xf numFmtId="0" fontId="13" fillId="0" borderId="65" xfId="0" applyFont="1" applyFill="1" applyBorder="1"/>
    <xf numFmtId="0" fontId="9" fillId="0" borderId="0" xfId="0" applyFont="1" applyBorder="1"/>
    <xf numFmtId="0" fontId="9" fillId="0" borderId="65" xfId="0" applyFont="1" applyBorder="1"/>
    <xf numFmtId="0" fontId="19" fillId="0" borderId="65" xfId="0" applyFont="1" applyBorder="1"/>
    <xf numFmtId="0" fontId="13" fillId="0" borderId="65" xfId="0" applyFont="1" applyBorder="1"/>
    <xf numFmtId="0" fontId="13" fillId="0" borderId="0" xfId="0" applyFont="1" applyBorder="1"/>
    <xf numFmtId="0" fontId="13" fillId="0" borderId="63" xfId="0" applyFont="1" applyFill="1" applyBorder="1"/>
    <xf numFmtId="0" fontId="13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 wrapText="1"/>
    </xf>
    <xf numFmtId="14" fontId="11" fillId="0" borderId="0" xfId="0" applyNumberFormat="1" applyFont="1" applyFill="1" applyBorder="1" applyAlignment="1">
      <alignment horizontal="center"/>
    </xf>
    <xf numFmtId="164" fontId="11" fillId="0" borderId="0" xfId="0" applyNumberFormat="1" applyFont="1" applyBorder="1" applyAlignment="1">
      <alignment horizontal="center"/>
    </xf>
    <xf numFmtId="0" fontId="11" fillId="12" borderId="0" xfId="0" applyFont="1" applyFill="1" applyBorder="1" applyAlignment="1">
      <alignment horizontal="center" vertical="center"/>
    </xf>
    <xf numFmtId="165" fontId="11" fillId="12" borderId="0" xfId="0" applyNumberFormat="1" applyFont="1" applyFill="1" applyBorder="1" applyAlignment="1">
      <alignment horizontal="center"/>
    </xf>
    <xf numFmtId="0" fontId="19" fillId="0" borderId="65" xfId="0" applyFont="1" applyBorder="1" applyAlignment="1">
      <alignment horizontal="left" indent="1"/>
    </xf>
    <xf numFmtId="0" fontId="19" fillId="0" borderId="65" xfId="0" applyFont="1" applyFill="1" applyBorder="1" applyAlignment="1">
      <alignment horizontal="left" indent="1"/>
    </xf>
    <xf numFmtId="0" fontId="13" fillId="0" borderId="0" xfId="0" applyFont="1" applyFill="1" applyBorder="1" applyAlignment="1">
      <alignment horizontal="center"/>
    </xf>
    <xf numFmtId="0" fontId="13" fillId="0" borderId="63" xfId="0" applyFont="1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3" xfId="0" applyBorder="1"/>
    <xf numFmtId="0" fontId="0" fillId="0" borderId="30" xfId="0" applyBorder="1"/>
    <xf numFmtId="0" fontId="0" fillId="0" borderId="31" xfId="0" applyBorder="1"/>
    <xf numFmtId="0" fontId="0" fillId="0" borderId="0" xfId="0" applyFill="1" applyBorder="1" applyAlignment="1">
      <alignment vertical="center"/>
    </xf>
    <xf numFmtId="0" fontId="0" fillId="0" borderId="1" xfId="0" applyBorder="1"/>
    <xf numFmtId="0" fontId="0" fillId="0" borderId="11" xfId="0" applyBorder="1"/>
    <xf numFmtId="0" fontId="29" fillId="0" borderId="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0" xfId="0" applyFill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8" borderId="0" xfId="0" applyFill="1" applyBorder="1"/>
    <xf numFmtId="0" fontId="0" fillId="9" borderId="0" xfId="0" applyFill="1" applyBorder="1"/>
    <xf numFmtId="0" fontId="0" fillId="0" borderId="20" xfId="0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0" fillId="9" borderId="44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4" fillId="0" borderId="59" xfId="0" applyFont="1" applyFill="1" applyBorder="1" applyAlignment="1">
      <alignment horizontal="center"/>
    </xf>
    <xf numFmtId="0" fontId="4" fillId="0" borderId="58" xfId="0" applyFont="1" applyFill="1" applyBorder="1" applyAlignment="1">
      <alignment horizontal="center"/>
    </xf>
    <xf numFmtId="0" fontId="4" fillId="0" borderId="60" xfId="0" applyFont="1" applyFill="1" applyBorder="1" applyAlignment="1">
      <alignment horizontal="center"/>
    </xf>
    <xf numFmtId="2" fontId="0" fillId="4" borderId="5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0" xfId="0" applyFont="1" applyFill="1" applyAlignment="1">
      <alignment horizontal="left"/>
    </xf>
    <xf numFmtId="2" fontId="0" fillId="4" borderId="44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4" fillId="4" borderId="0" xfId="0" applyFont="1" applyFill="1" applyAlignment="1">
      <alignment horizontal="left"/>
    </xf>
    <xf numFmtId="2" fontId="0" fillId="4" borderId="4" xfId="0" applyNumberFormat="1" applyFill="1" applyBorder="1" applyAlignment="1">
      <alignment horizontal="center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0" fillId="0" borderId="0" xfId="0" applyFill="1" applyAlignment="1">
      <alignment horizontal="left"/>
    </xf>
    <xf numFmtId="0" fontId="4" fillId="0" borderId="0" xfId="0" applyFont="1" applyAlignment="1">
      <alignment horizontal="left" wrapText="1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6" fillId="9" borderId="0" xfId="0" applyFont="1" applyFill="1" applyAlignment="1">
      <alignment horizontal="center" vertical="center" textRotation="90"/>
    </xf>
    <xf numFmtId="0" fontId="4" fillId="9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wrapText="1"/>
    </xf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Fill="1" applyAlignment="1">
      <alignment horizontal="right" vertical="center" wrapText="1"/>
    </xf>
    <xf numFmtId="0" fontId="0" fillId="0" borderId="0" xfId="0" applyFill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4" fillId="0" borderId="0" xfId="0" applyFont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0" xfId="0" applyAlignment="1"/>
    <xf numFmtId="0" fontId="4" fillId="9" borderId="0" xfId="0" applyFont="1" applyFill="1" applyAlignment="1">
      <alignment horizontal="center"/>
    </xf>
    <xf numFmtId="0" fontId="6" fillId="0" borderId="0" xfId="0" applyFont="1" applyBorder="1" applyAlignment="1">
      <alignment horizontal="center" vertical="center" textRotation="90"/>
    </xf>
    <xf numFmtId="0" fontId="4" fillId="0" borderId="0" xfId="0" applyFont="1" applyFill="1" applyAlignment="1">
      <alignment horizontal="center" wrapText="1"/>
    </xf>
    <xf numFmtId="0" fontId="4" fillId="0" borderId="0" xfId="0" applyFont="1" applyFill="1" applyAlignment="1">
      <alignment horizontal="right" vertical="top"/>
    </xf>
    <xf numFmtId="0" fontId="4" fillId="0" borderId="63" xfId="0" applyFont="1" applyFill="1" applyBorder="1" applyAlignment="1">
      <alignment horizontal="right" vertical="top"/>
    </xf>
    <xf numFmtId="0" fontId="0" fillId="0" borderId="0" xfId="0" applyAlignment="1">
      <alignment horizontal="right"/>
    </xf>
    <xf numFmtId="0" fontId="11" fillId="0" borderId="1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0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4" borderId="48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0" fillId="4" borderId="49" xfId="0" applyFill="1" applyBorder="1" applyAlignment="1">
      <alignment horizontal="left"/>
    </xf>
    <xf numFmtId="0" fontId="4" fillId="8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4" borderId="62" xfId="0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 textRotation="90"/>
    </xf>
    <xf numFmtId="165" fontId="4" fillId="9" borderId="1" xfId="0" applyNumberFormat="1" applyFont="1" applyFill="1" applyBorder="1" applyAlignment="1">
      <alignment horizontal="center"/>
    </xf>
    <xf numFmtId="165" fontId="4" fillId="9" borderId="2" xfId="0" applyNumberFormat="1" applyFont="1" applyFill="1" applyBorder="1" applyAlignment="1">
      <alignment horizontal="center"/>
    </xf>
    <xf numFmtId="165" fontId="4" fillId="9" borderId="38" xfId="0" applyNumberFormat="1" applyFont="1" applyFill="1" applyBorder="1" applyAlignment="1">
      <alignment horizontal="center"/>
    </xf>
    <xf numFmtId="165" fontId="4" fillId="8" borderId="33" xfId="0" applyNumberFormat="1" applyFont="1" applyFill="1" applyBorder="1" applyAlignment="1">
      <alignment horizontal="center"/>
    </xf>
    <xf numFmtId="165" fontId="4" fillId="8" borderId="35" xfId="0" applyNumberFormat="1" applyFont="1" applyFill="1" applyBorder="1" applyAlignment="1">
      <alignment horizontal="center"/>
    </xf>
    <xf numFmtId="165" fontId="4" fillId="8" borderId="36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165" fontId="4" fillId="8" borderId="32" xfId="0" applyNumberFormat="1" applyFont="1" applyFill="1" applyBorder="1" applyAlignment="1">
      <alignment horizontal="center"/>
    </xf>
    <xf numFmtId="165" fontId="4" fillId="8" borderId="2" xfId="0" applyNumberFormat="1" applyFont="1" applyFill="1" applyBorder="1" applyAlignment="1">
      <alignment horizontal="center"/>
    </xf>
    <xf numFmtId="165" fontId="4" fillId="8" borderId="3" xfId="0" applyNumberFormat="1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/>
    </xf>
    <xf numFmtId="165" fontId="4" fillId="9" borderId="3" xfId="0" applyNumberFormat="1" applyFont="1" applyFill="1" applyBorder="1" applyAlignment="1">
      <alignment horizontal="center"/>
    </xf>
    <xf numFmtId="0" fontId="17" fillId="8" borderId="31" xfId="0" applyFont="1" applyFill="1" applyBorder="1" applyAlignment="1">
      <alignment horizontal="center" vertical="center"/>
    </xf>
    <xf numFmtId="165" fontId="4" fillId="8" borderId="42" xfId="0" applyNumberFormat="1" applyFont="1" applyFill="1" applyBorder="1" applyAlignment="1">
      <alignment horizontal="center"/>
    </xf>
    <xf numFmtId="165" fontId="4" fillId="8" borderId="40" xfId="0" applyNumberFormat="1" applyFont="1" applyFill="1" applyBorder="1" applyAlignment="1">
      <alignment horizontal="center"/>
    </xf>
    <xf numFmtId="165" fontId="4" fillId="8" borderId="43" xfId="0" applyNumberFormat="1" applyFont="1" applyFill="1" applyBorder="1" applyAlignment="1">
      <alignment horizontal="center"/>
    </xf>
    <xf numFmtId="165" fontId="4" fillId="9" borderId="39" xfId="0" applyNumberFormat="1" applyFont="1" applyFill="1" applyBorder="1" applyAlignment="1">
      <alignment horizontal="center"/>
    </xf>
    <xf numFmtId="165" fontId="4" fillId="9" borderId="40" xfId="0" applyNumberFormat="1" applyFont="1" applyFill="1" applyBorder="1" applyAlignment="1">
      <alignment horizontal="center"/>
    </xf>
    <xf numFmtId="165" fontId="4" fillId="9" borderId="41" xfId="0" applyNumberFormat="1" applyFont="1" applyFill="1" applyBorder="1" applyAlignment="1">
      <alignment horizontal="center"/>
    </xf>
    <xf numFmtId="0" fontId="17" fillId="8" borderId="10" xfId="0" applyFont="1" applyFill="1" applyBorder="1" applyAlignment="1">
      <alignment horizontal="center" vertical="center"/>
    </xf>
    <xf numFmtId="0" fontId="17" fillId="9" borderId="10" xfId="0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7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0" xfId="0" applyFont="1" applyFill="1" applyBorder="1" applyAlignment="1">
      <alignment horizontal="right" wrapText="1"/>
    </xf>
    <xf numFmtId="14" fontId="0" fillId="0" borderId="1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5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" xfId="0" applyFill="1" applyBorder="1" applyAlignment="1">
      <alignment horizontal="center" wrapText="1"/>
    </xf>
    <xf numFmtId="0" fontId="0" fillId="0" borderId="5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10" xfId="0" applyFill="1" applyBorder="1" applyAlignment="1">
      <alignment horizontal="center" wrapText="1"/>
    </xf>
    <xf numFmtId="0" fontId="0" fillId="0" borderId="11" xfId="0" applyFill="1" applyBorder="1" applyAlignment="1">
      <alignment horizontal="center" wrapText="1"/>
    </xf>
    <xf numFmtId="0" fontId="0" fillId="0" borderId="0" xfId="0" applyBorder="1" applyAlignment="1">
      <alignment horizontal="right"/>
    </xf>
    <xf numFmtId="0" fontId="4" fillId="13" borderId="62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16" xfId="0" applyFont="1" applyBorder="1" applyAlignment="1">
      <alignment horizontal="right"/>
    </xf>
    <xf numFmtId="0" fontId="4" fillId="4" borderId="64" xfId="0" applyFont="1" applyFill="1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4" xfId="0" applyFont="1" applyBorder="1" applyAlignment="1">
      <alignment horizontal="left" wrapText="1"/>
    </xf>
    <xf numFmtId="0" fontId="0" fillId="0" borderId="5" xfId="0" applyFont="1" applyBorder="1" applyAlignment="1">
      <alignment horizontal="left" wrapText="1"/>
    </xf>
    <xf numFmtId="0" fontId="0" fillId="0" borderId="6" xfId="0" applyFont="1" applyBorder="1" applyAlignment="1">
      <alignment horizontal="left" wrapText="1"/>
    </xf>
    <xf numFmtId="0" fontId="0" fillId="0" borderId="9" xfId="0" applyFont="1" applyBorder="1" applyAlignment="1">
      <alignment horizontal="left" wrapText="1"/>
    </xf>
    <xf numFmtId="0" fontId="0" fillId="0" borderId="10" xfId="0" applyFont="1" applyBorder="1" applyAlignment="1">
      <alignment horizontal="left" wrapText="1"/>
    </xf>
    <xf numFmtId="0" fontId="0" fillId="0" borderId="11" xfId="0" applyFont="1" applyBorder="1" applyAlignment="1">
      <alignment horizontal="left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5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8" fillId="0" borderId="0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19" fillId="0" borderId="5" xfId="0" applyFont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  <xf numFmtId="0" fontId="13" fillId="0" borderId="1" xfId="0" applyFont="1" applyBorder="1" applyAlignment="1">
      <alignment horizontal="center"/>
    </xf>
    <xf numFmtId="0" fontId="26" fillId="0" borderId="4" xfId="0" applyFont="1" applyBorder="1" applyAlignment="1">
      <alignment horizontal="left" vertical="top" wrapText="1"/>
    </xf>
    <xf numFmtId="0" fontId="26" fillId="0" borderId="5" xfId="0" applyFont="1" applyBorder="1" applyAlignment="1">
      <alignment horizontal="left" vertical="top" wrapTex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0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9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 wrapText="1"/>
    </xf>
    <xf numFmtId="0" fontId="26" fillId="0" borderId="11" xfId="0" applyFont="1" applyBorder="1" applyAlignment="1">
      <alignment horizontal="left" vertical="top" wrapText="1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top" wrapText="1"/>
    </xf>
    <xf numFmtId="0" fontId="13" fillId="0" borderId="5" xfId="0" applyFont="1" applyBorder="1" applyAlignment="1">
      <alignment horizontal="left" vertical="top" wrapText="1"/>
    </xf>
    <xf numFmtId="0" fontId="13" fillId="0" borderId="6" xfId="0" applyFont="1" applyBorder="1" applyAlignment="1">
      <alignment horizontal="left" vertical="top" wrapText="1"/>
    </xf>
    <xf numFmtId="0" fontId="13" fillId="0" borderId="7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8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 wrapText="1"/>
    </xf>
    <xf numFmtId="0" fontId="13" fillId="0" borderId="10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left" vertical="top" wrapText="1"/>
    </xf>
    <xf numFmtId="0" fontId="17" fillId="0" borderId="0" xfId="0" applyFont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ont="1" applyBorder="1" applyAlignment="1">
      <alignment horizontal="left" wrapText="1"/>
    </xf>
    <xf numFmtId="0" fontId="9" fillId="0" borderId="0" xfId="0" applyFont="1" applyAlignment="1">
      <alignment horizontal="center" wrapText="1"/>
    </xf>
    <xf numFmtId="0" fontId="13" fillId="0" borderId="44" xfId="0" applyFont="1" applyFill="1" applyBorder="1" applyAlignment="1">
      <alignment horizontal="left" wrapText="1"/>
    </xf>
    <xf numFmtId="0" fontId="4" fillId="0" borderId="44" xfId="0" applyFont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0" fillId="10" borderId="6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 wrapText="1"/>
    </xf>
    <xf numFmtId="0" fontId="0" fillId="0" borderId="0" xfId="0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0" fillId="0" borderId="9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1" fillId="0" borderId="44" xfId="0" applyFont="1" applyFill="1" applyBorder="1" applyAlignment="1">
      <alignment horizontal="left" vertical="top" wrapText="1"/>
    </xf>
    <xf numFmtId="0" fontId="9" fillId="0" borderId="4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center" wrapText="1"/>
    </xf>
    <xf numFmtId="0" fontId="4" fillId="0" borderId="4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65" fontId="0" fillId="12" borderId="4" xfId="0" applyNumberFormat="1" applyFill="1" applyBorder="1" applyAlignment="1">
      <alignment horizontal="center"/>
    </xf>
    <xf numFmtId="165" fontId="0" fillId="12" borderId="5" xfId="0" applyNumberFormat="1" applyFill="1" applyBorder="1" applyAlignment="1">
      <alignment horizontal="center"/>
    </xf>
    <xf numFmtId="165" fontId="0" fillId="12" borderId="6" xfId="0" applyNumberFormat="1" applyFill="1" applyBorder="1" applyAlignment="1">
      <alignment horizontal="center"/>
    </xf>
    <xf numFmtId="0" fontId="9" fillId="0" borderId="4" xfId="0" applyFont="1" applyFill="1" applyBorder="1" applyAlignment="1">
      <alignment horizontal="left" vertical="top" wrapText="1"/>
    </xf>
    <xf numFmtId="0" fontId="9" fillId="0" borderId="5" xfId="0" applyFont="1" applyFill="1" applyBorder="1" applyAlignment="1">
      <alignment horizontal="left" vertical="top" wrapText="1"/>
    </xf>
    <xf numFmtId="0" fontId="9" fillId="0" borderId="6" xfId="0" applyFont="1" applyFill="1" applyBorder="1" applyAlignment="1">
      <alignment horizontal="left" vertical="top" wrapText="1"/>
    </xf>
    <xf numFmtId="0" fontId="9" fillId="0" borderId="7" xfId="0" applyFont="1" applyFill="1" applyBorder="1" applyAlignment="1">
      <alignment horizontal="left" vertical="top" wrapText="1"/>
    </xf>
    <xf numFmtId="0" fontId="9" fillId="0" borderId="0" xfId="0" applyFont="1" applyFill="1" applyBorder="1" applyAlignment="1">
      <alignment horizontal="left" vertical="top" wrapText="1"/>
    </xf>
    <xf numFmtId="0" fontId="9" fillId="0" borderId="8" xfId="0" applyFont="1" applyFill="1" applyBorder="1" applyAlignment="1">
      <alignment horizontal="left" vertical="top" wrapText="1"/>
    </xf>
    <xf numFmtId="0" fontId="9" fillId="0" borderId="9" xfId="0" applyFont="1" applyFill="1" applyBorder="1" applyAlignment="1">
      <alignment horizontal="left" vertical="top" wrapText="1"/>
    </xf>
    <xf numFmtId="0" fontId="9" fillId="0" borderId="10" xfId="0" applyFont="1" applyFill="1" applyBorder="1" applyAlignment="1">
      <alignment horizontal="left" vertical="top" wrapText="1"/>
    </xf>
    <xf numFmtId="0" fontId="9" fillId="0" borderId="11" xfId="0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0" fillId="0" borderId="44" xfId="0" applyFont="1" applyFill="1" applyBorder="1" applyAlignment="1">
      <alignment horizontal="center" vertical="center"/>
    </xf>
    <xf numFmtId="49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13" fillId="0" borderId="44" xfId="0" applyFont="1" applyBorder="1" applyAlignment="1">
      <alignment horizontal="left" vertical="top" wrapText="1"/>
    </xf>
    <xf numFmtId="0" fontId="4" fillId="0" borderId="4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11" xfId="0" applyFont="1" applyBorder="1" applyAlignment="1">
      <alignment horizontal="left" vertical="top" wrapText="1"/>
    </xf>
    <xf numFmtId="0" fontId="5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2" borderId="0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19" fillId="0" borderId="0" xfId="0" applyFont="1" applyFill="1" applyAlignment="1">
      <alignment horizont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3" fillId="0" borderId="44" xfId="0" applyFont="1" applyBorder="1" applyAlignment="1">
      <alignment horizontal="left"/>
    </xf>
    <xf numFmtId="0" fontId="0" fillId="0" borderId="44" xfId="0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0" fillId="0" borderId="44" xfId="0" applyBorder="1" applyAlignment="1">
      <alignment horizontal="center" wrapText="1"/>
    </xf>
    <xf numFmtId="165" fontId="4" fillId="9" borderId="34" xfId="0" applyNumberFormat="1" applyFont="1" applyFill="1" applyBorder="1" applyAlignment="1">
      <alignment horizontal="center"/>
    </xf>
    <xf numFmtId="165" fontId="4" fillId="9" borderId="35" xfId="0" applyNumberFormat="1" applyFont="1" applyFill="1" applyBorder="1" applyAlignment="1">
      <alignment horizontal="center"/>
    </xf>
    <xf numFmtId="165" fontId="4" fillId="9" borderId="37" xfId="0" applyNumberFormat="1" applyFont="1" applyFill="1" applyBorder="1" applyAlignment="1">
      <alignment horizontal="center"/>
    </xf>
    <xf numFmtId="0" fontId="10" fillId="0" borderId="44" xfId="0" applyFont="1" applyBorder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8" xfId="0" applyFont="1" applyFill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4" xfId="0" applyFill="1" applyBorder="1" applyAlignment="1">
      <alignment horizontal="left" wrapText="1"/>
    </xf>
    <xf numFmtId="0" fontId="0" fillId="0" borderId="5" xfId="0" applyFill="1" applyBorder="1" applyAlignment="1">
      <alignment horizontal="left" wrapText="1"/>
    </xf>
    <xf numFmtId="0" fontId="0" fillId="0" borderId="6" xfId="0" applyFill="1" applyBorder="1" applyAlignment="1">
      <alignment horizontal="left" wrapText="1"/>
    </xf>
    <xf numFmtId="0" fontId="0" fillId="0" borderId="7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0" borderId="8" xfId="0" applyFill="1" applyBorder="1" applyAlignment="1">
      <alignment horizontal="left" wrapText="1"/>
    </xf>
    <xf numFmtId="0" fontId="0" fillId="0" borderId="9" xfId="0" applyFill="1" applyBorder="1" applyAlignment="1">
      <alignment horizontal="left" wrapText="1"/>
    </xf>
    <xf numFmtId="0" fontId="0" fillId="0" borderId="10" xfId="0" applyFill="1" applyBorder="1" applyAlignment="1">
      <alignment horizontal="left" wrapText="1"/>
    </xf>
    <xf numFmtId="0" fontId="0" fillId="0" borderId="11" xfId="0" applyFill="1" applyBorder="1" applyAlignment="1">
      <alignment horizontal="left" wrapText="1"/>
    </xf>
    <xf numFmtId="0" fontId="9" fillId="0" borderId="7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13" fillId="11" borderId="1" xfId="0" applyFont="1" applyFill="1" applyBorder="1" applyAlignment="1">
      <alignment horizontal="center"/>
    </xf>
    <xf numFmtId="0" fontId="13" fillId="11" borderId="2" xfId="0" applyFont="1" applyFill="1" applyBorder="1" applyAlignment="1">
      <alignment horizontal="center"/>
    </xf>
    <xf numFmtId="0" fontId="13" fillId="11" borderId="3" xfId="0" applyFont="1" applyFill="1" applyBorder="1" applyAlignment="1">
      <alignment horizontal="center"/>
    </xf>
    <xf numFmtId="0" fontId="20" fillId="0" borderId="44" xfId="0" applyFont="1" applyBorder="1" applyAlignment="1">
      <alignment horizontal="left" vertical="top" wrapText="1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3" xfId="0" applyFont="1" applyFill="1" applyBorder="1" applyAlignment="1">
      <alignment horizontal="center" vertical="center"/>
    </xf>
    <xf numFmtId="0" fontId="9" fillId="10" borderId="27" xfId="0" applyFont="1" applyFill="1" applyBorder="1" applyAlignment="1">
      <alignment horizontal="center" vertical="top" wrapText="1"/>
    </xf>
    <xf numFmtId="0" fontId="9" fillId="10" borderId="28" xfId="0" applyFont="1" applyFill="1" applyBorder="1" applyAlignment="1">
      <alignment horizontal="center" vertical="top" wrapText="1"/>
    </xf>
    <xf numFmtId="0" fontId="9" fillId="10" borderId="21" xfId="0" applyFont="1" applyFill="1" applyBorder="1" applyAlignment="1">
      <alignment horizontal="center" vertical="top" wrapText="1"/>
    </xf>
    <xf numFmtId="0" fontId="0" fillId="8" borderId="1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8" borderId="3" xfId="0" applyFont="1" applyFill="1" applyBorder="1" applyAlignment="1">
      <alignment horizontal="center"/>
    </xf>
    <xf numFmtId="0" fontId="15" fillId="4" borderId="62" xfId="0" applyFont="1" applyFill="1" applyBorder="1" applyAlignment="1">
      <alignment horizontal="center"/>
    </xf>
    <xf numFmtId="0" fontId="13" fillId="0" borderId="14" xfId="0" applyFont="1" applyFill="1" applyBorder="1" applyAlignment="1">
      <alignment horizontal="center"/>
    </xf>
    <xf numFmtId="0" fontId="13" fillId="0" borderId="29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0" fontId="13" fillId="0" borderId="30" xfId="0" applyFont="1" applyFill="1" applyBorder="1" applyAlignment="1">
      <alignment horizontal="center"/>
    </xf>
    <xf numFmtId="0" fontId="13" fillId="0" borderId="3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3" fillId="0" borderId="14" xfId="0" applyFont="1" applyFill="1" applyBorder="1" applyAlignment="1">
      <alignment horizontal="center" wrapText="1"/>
    </xf>
    <xf numFmtId="0" fontId="13" fillId="0" borderId="29" xfId="0" applyFont="1" applyFill="1" applyBorder="1" applyAlignment="1">
      <alignment horizontal="center" wrapText="1"/>
    </xf>
    <xf numFmtId="0" fontId="13" fillId="0" borderId="12" xfId="0" applyFont="1" applyFill="1" applyBorder="1" applyAlignment="1">
      <alignment horizontal="center" wrapText="1"/>
    </xf>
    <xf numFmtId="0" fontId="13" fillId="0" borderId="30" xfId="0" applyFont="1" applyFill="1" applyBorder="1" applyAlignment="1">
      <alignment horizontal="center" wrapText="1"/>
    </xf>
    <xf numFmtId="0" fontId="13" fillId="0" borderId="31" xfId="0" applyFont="1" applyFill="1" applyBorder="1" applyAlignment="1">
      <alignment horizontal="center" wrapText="1"/>
    </xf>
    <xf numFmtId="0" fontId="13" fillId="0" borderId="13" xfId="0" applyFont="1" applyFill="1" applyBorder="1" applyAlignment="1">
      <alignment horizontal="center" wrapText="1"/>
    </xf>
    <xf numFmtId="0" fontId="0" fillId="0" borderId="0" xfId="0" applyFill="1" applyAlignment="1"/>
    <xf numFmtId="0" fontId="9" fillId="0" borderId="22" xfId="0" applyFont="1" applyBorder="1" applyAlignment="1">
      <alignment horizontal="left" vertical="top" wrapText="1"/>
    </xf>
    <xf numFmtId="0" fontId="9" fillId="0" borderId="23" xfId="0" applyFont="1" applyBorder="1" applyAlignment="1">
      <alignment horizontal="left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24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25" xfId="0" applyFont="1" applyBorder="1" applyAlignment="1">
      <alignment horizontal="left" vertical="top" wrapText="1"/>
    </xf>
    <xf numFmtId="0" fontId="9" fillId="0" borderId="26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0" borderId="27" xfId="0" applyFill="1" applyBorder="1" applyAlignment="1">
      <alignment horizontal="center" wrapText="1"/>
    </xf>
    <xf numFmtId="18" fontId="0" fillId="0" borderId="9" xfId="0" applyNumberFormat="1" applyBorder="1" applyAlignment="1">
      <alignment horizontal="center"/>
    </xf>
    <xf numFmtId="18" fontId="0" fillId="12" borderId="9" xfId="0" applyNumberFormat="1" applyFill="1" applyBorder="1" applyAlignment="1">
      <alignment horizontal="center" vertical="center"/>
    </xf>
    <xf numFmtId="0" fontId="0" fillId="0" borderId="0" xfId="0" applyFill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23" fillId="0" borderId="29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0" fontId="13" fillId="0" borderId="63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31" xfId="0" applyFont="1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4" borderId="0" xfId="0" applyFill="1" applyAlignment="1">
      <alignment horizontal="center" wrapText="1"/>
    </xf>
    <xf numFmtId="0" fontId="0" fillId="8" borderId="2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22" xfId="0" applyFill="1" applyBorder="1" applyAlignment="1">
      <alignment horizontal="center" wrapText="1"/>
    </xf>
    <xf numFmtId="0" fontId="0" fillId="8" borderId="23" xfId="0" applyFill="1" applyBorder="1" applyAlignment="1">
      <alignment horizontal="center" wrapText="1"/>
    </xf>
    <xf numFmtId="0" fontId="0" fillId="8" borderId="15" xfId="0" applyFill="1" applyBorder="1" applyAlignment="1">
      <alignment horizontal="center" wrapText="1"/>
    </xf>
    <xf numFmtId="0" fontId="0" fillId="8" borderId="25" xfId="0" applyFill="1" applyBorder="1" applyAlignment="1">
      <alignment horizontal="center" wrapText="1"/>
    </xf>
    <xf numFmtId="0" fontId="0" fillId="8" borderId="26" xfId="0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9" borderId="22" xfId="0" applyFill="1" applyBorder="1" applyAlignment="1">
      <alignment horizontal="center" wrapText="1"/>
    </xf>
    <xf numFmtId="0" fontId="0" fillId="9" borderId="23" xfId="0" applyFill="1" applyBorder="1" applyAlignment="1">
      <alignment horizontal="center" wrapText="1"/>
    </xf>
    <xf numFmtId="0" fontId="0" fillId="9" borderId="15" xfId="0" applyFill="1" applyBorder="1" applyAlignment="1">
      <alignment horizontal="center" wrapText="1"/>
    </xf>
    <xf numFmtId="0" fontId="0" fillId="9" borderId="25" xfId="0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0" fillId="9" borderId="18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6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0" fillId="0" borderId="23" xfId="0" applyFill="1" applyBorder="1" applyAlignment="1">
      <alignment horizontal="center" wrapText="1"/>
    </xf>
    <xf numFmtId="0" fontId="0" fillId="10" borderId="3" xfId="0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30" fillId="0" borderId="65" xfId="0" applyFont="1" applyFill="1" applyBorder="1" applyAlignment="1">
      <alignment horizontal="right" wrapText="1"/>
    </xf>
    <xf numFmtId="0" fontId="30" fillId="0" borderId="0" xfId="0" applyFont="1" applyFill="1" applyBorder="1" applyAlignment="1">
      <alignment horizontal="right" wrapText="1"/>
    </xf>
    <xf numFmtId="0" fontId="11" fillId="0" borderId="4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center" wrapText="1"/>
    </xf>
    <xf numFmtId="0" fontId="11" fillId="0" borderId="6" xfId="0" applyFont="1" applyFill="1" applyBorder="1" applyAlignment="1">
      <alignment horizontal="center" wrapText="1"/>
    </xf>
    <xf numFmtId="0" fontId="11" fillId="0" borderId="9" xfId="0" applyFont="1" applyFill="1" applyBorder="1" applyAlignment="1">
      <alignment horizontal="center" wrapText="1"/>
    </xf>
    <xf numFmtId="0" fontId="11" fillId="0" borderId="10" xfId="0" applyFont="1" applyFill="1" applyBorder="1" applyAlignment="1">
      <alignment horizontal="center" wrapText="1"/>
    </xf>
    <xf numFmtId="0" fontId="11" fillId="0" borderId="11" xfId="0" applyFont="1" applyFill="1" applyBorder="1" applyAlignment="1">
      <alignment horizontal="center" wrapText="1"/>
    </xf>
    <xf numFmtId="0" fontId="29" fillId="0" borderId="1" xfId="0" applyFont="1" applyFill="1" applyBorder="1" applyAlignment="1">
      <alignment horizontal="left"/>
    </xf>
    <xf numFmtId="0" fontId="29" fillId="0" borderId="2" xfId="0" applyFont="1" applyFill="1" applyBorder="1" applyAlignment="1">
      <alignment horizontal="left"/>
    </xf>
    <xf numFmtId="0" fontId="29" fillId="0" borderId="3" xfId="0" applyFont="1" applyFill="1" applyBorder="1" applyAlignment="1">
      <alignment horizontal="left"/>
    </xf>
    <xf numFmtId="14" fontId="11" fillId="0" borderId="1" xfId="0" applyNumberFormat="1" applyFont="1" applyFill="1" applyBorder="1" applyAlignment="1">
      <alignment horizontal="center"/>
    </xf>
    <xf numFmtId="14" fontId="11" fillId="0" borderId="2" xfId="0" applyNumberFormat="1" applyFont="1" applyFill="1" applyBorder="1" applyAlignment="1">
      <alignment horizontal="center"/>
    </xf>
    <xf numFmtId="14" fontId="11" fillId="0" borderId="3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29" fillId="0" borderId="2" xfId="0" applyFont="1" applyBorder="1" applyAlignment="1">
      <alignment horizontal="left"/>
    </xf>
    <xf numFmtId="0" fontId="29" fillId="0" borderId="3" xfId="0" applyFont="1" applyBorder="1" applyAlignment="1">
      <alignment horizontal="left"/>
    </xf>
    <xf numFmtId="164" fontId="11" fillId="0" borderId="1" xfId="0" applyNumberFormat="1" applyFont="1" applyBorder="1" applyAlignment="1">
      <alignment horizontal="center"/>
    </xf>
    <xf numFmtId="164" fontId="11" fillId="0" borderId="2" xfId="0" applyNumberFormat="1" applyFont="1" applyBorder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29" fillId="0" borderId="65" xfId="0" applyFont="1" applyBorder="1" applyAlignment="1">
      <alignment horizontal="right"/>
    </xf>
    <xf numFmtId="0" fontId="29" fillId="0" borderId="0" xfId="0" applyFont="1" applyBorder="1" applyAlignment="1">
      <alignment horizontal="right"/>
    </xf>
    <xf numFmtId="0" fontId="11" fillId="0" borderId="1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29" fillId="0" borderId="45" xfId="0" applyFont="1" applyBorder="1" applyAlignment="1">
      <alignment horizontal="left"/>
    </xf>
    <xf numFmtId="0" fontId="29" fillId="0" borderId="46" xfId="0" applyFont="1" applyBorder="1" applyAlignment="1">
      <alignment horizontal="left"/>
    </xf>
    <xf numFmtId="0" fontId="29" fillId="0" borderId="47" xfId="0" applyFont="1" applyBorder="1" applyAlignment="1">
      <alignment horizontal="left"/>
    </xf>
    <xf numFmtId="164" fontId="11" fillId="0" borderId="45" xfId="0" applyNumberFormat="1" applyFont="1" applyBorder="1" applyAlignment="1">
      <alignment horizontal="center"/>
    </xf>
    <xf numFmtId="164" fontId="11" fillId="0" borderId="46" xfId="0" applyNumberFormat="1" applyFont="1" applyBorder="1" applyAlignment="1">
      <alignment horizontal="center"/>
    </xf>
    <xf numFmtId="164" fontId="11" fillId="0" borderId="47" xfId="0" applyNumberFormat="1" applyFont="1" applyBorder="1" applyAlignment="1">
      <alignment horizontal="center"/>
    </xf>
    <xf numFmtId="0" fontId="29" fillId="4" borderId="48" xfId="0" applyFont="1" applyFill="1" applyBorder="1" applyAlignment="1">
      <alignment horizontal="left"/>
    </xf>
    <xf numFmtId="0" fontId="29" fillId="4" borderId="28" xfId="0" applyFont="1" applyFill="1" applyBorder="1" applyAlignment="1">
      <alignment horizontal="left"/>
    </xf>
    <xf numFmtId="0" fontId="29" fillId="4" borderId="49" xfId="0" applyFont="1" applyFill="1" applyBorder="1" applyAlignment="1">
      <alignment horizontal="left"/>
    </xf>
    <xf numFmtId="0" fontId="29" fillId="4" borderId="48" xfId="0" applyFont="1" applyFill="1" applyBorder="1" applyAlignment="1">
      <alignment horizontal="center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49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11" xfId="0" applyFont="1" applyBorder="1" applyAlignment="1">
      <alignment horizontal="right"/>
    </xf>
    <xf numFmtId="18" fontId="11" fillId="0" borderId="9" xfId="0" applyNumberFormat="1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8" fontId="11" fillId="12" borderId="9" xfId="0" applyNumberFormat="1" applyFont="1" applyFill="1" applyBorder="1" applyAlignment="1">
      <alignment horizontal="center" vertical="center"/>
    </xf>
    <xf numFmtId="0" fontId="11" fillId="12" borderId="10" xfId="0" applyFont="1" applyFill="1" applyBorder="1" applyAlignment="1">
      <alignment horizontal="center" vertical="center"/>
    </xf>
    <xf numFmtId="0" fontId="11" fillId="12" borderId="1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6" xfId="0" applyFont="1" applyBorder="1" applyAlignment="1">
      <alignment horizontal="right"/>
    </xf>
    <xf numFmtId="165" fontId="11" fillId="12" borderId="4" xfId="0" applyNumberFormat="1" applyFont="1" applyFill="1" applyBorder="1" applyAlignment="1">
      <alignment horizontal="center"/>
    </xf>
    <xf numFmtId="165" fontId="11" fillId="12" borderId="5" xfId="0" applyNumberFormat="1" applyFont="1" applyFill="1" applyBorder="1" applyAlignment="1">
      <alignment horizontal="center"/>
    </xf>
    <xf numFmtId="165" fontId="11" fillId="12" borderId="6" xfId="0" applyNumberFormat="1" applyFont="1" applyFill="1" applyBorder="1" applyAlignment="1">
      <alignment horizontal="center"/>
    </xf>
    <xf numFmtId="0" fontId="29" fillId="0" borderId="1" xfId="0" applyFont="1" applyBorder="1" applyAlignment="1">
      <alignment vertical="center"/>
    </xf>
    <xf numFmtId="0" fontId="29" fillId="0" borderId="2" xfId="0" applyFont="1" applyBorder="1" applyAlignment="1">
      <alignment vertical="center"/>
    </xf>
    <xf numFmtId="0" fontId="29" fillId="0" borderId="3" xfId="0" applyFont="1" applyBorder="1" applyAlignment="1">
      <alignment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6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63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9" fillId="0" borderId="63" xfId="0" applyFont="1" applyFill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10" fillId="10" borderId="0" xfId="0" applyFont="1" applyFill="1" applyBorder="1" applyAlignment="1">
      <alignment horizontal="right" wrapText="1"/>
    </xf>
    <xf numFmtId="0" fontId="0" fillId="10" borderId="1" xfId="0" applyFill="1" applyBorder="1" applyAlignment="1">
      <alignment horizontal="left"/>
    </xf>
    <xf numFmtId="0" fontId="0" fillId="10" borderId="2" xfId="0" applyFill="1" applyBorder="1" applyAlignment="1">
      <alignment horizontal="left"/>
    </xf>
    <xf numFmtId="0" fontId="0" fillId="10" borderId="3" xfId="0" applyFill="1" applyBorder="1" applyAlignment="1">
      <alignment horizontal="left"/>
    </xf>
    <xf numFmtId="0" fontId="0" fillId="10" borderId="45" xfId="0" applyFill="1" applyBorder="1" applyAlignment="1">
      <alignment horizontal="left"/>
    </xf>
    <xf numFmtId="0" fontId="0" fillId="10" borderId="46" xfId="0" applyFill="1" applyBorder="1" applyAlignment="1">
      <alignment horizontal="left"/>
    </xf>
    <xf numFmtId="0" fontId="0" fillId="10" borderId="47" xfId="0" applyFill="1" applyBorder="1" applyAlignment="1">
      <alignment horizontal="left"/>
    </xf>
    <xf numFmtId="0" fontId="0" fillId="10" borderId="0" xfId="0" applyFill="1" applyBorder="1" applyAlignment="1">
      <alignment horizontal="right"/>
    </xf>
    <xf numFmtId="0" fontId="0" fillId="10" borderId="0" xfId="0" applyFill="1" applyAlignment="1">
      <alignment horizontal="right"/>
    </xf>
    <xf numFmtId="0" fontId="0" fillId="10" borderId="48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49" xfId="0" applyFill="1" applyBorder="1" applyAlignment="1">
      <alignment horizontal="center" vertical="center"/>
    </xf>
    <xf numFmtId="0" fontId="4" fillId="10" borderId="0" xfId="0" applyFont="1" applyFill="1" applyAlignment="1">
      <alignment horizontal="right"/>
    </xf>
    <xf numFmtId="0" fontId="4" fillId="10" borderId="16" xfId="0" applyFont="1" applyFill="1" applyBorder="1" applyAlignment="1">
      <alignment horizontal="right"/>
    </xf>
    <xf numFmtId="0" fontId="4" fillId="10" borderId="0" xfId="0" applyFont="1" applyFill="1" applyAlignment="1">
      <alignment horizontal="left"/>
    </xf>
    <xf numFmtId="0" fontId="4" fillId="10" borderId="8" xfId="0" applyFont="1" applyFill="1" applyBorder="1" applyAlignment="1">
      <alignment horizontal="left"/>
    </xf>
    <xf numFmtId="0" fontId="2" fillId="10" borderId="62" xfId="0" applyFont="1" applyFill="1" applyBorder="1" applyAlignment="1">
      <alignment horizontal="center" vertical="center" wrapText="1"/>
    </xf>
    <xf numFmtId="0" fontId="2" fillId="15" borderId="62" xfId="0" applyFont="1" applyFill="1" applyBorder="1" applyAlignment="1">
      <alignment horizontal="center" vertical="center" wrapText="1"/>
    </xf>
    <xf numFmtId="0" fontId="0" fillId="15" borderId="27" xfId="0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15" borderId="4" xfId="0" applyFill="1" applyBorder="1" applyAlignment="1">
      <alignment horizontal="center" wrapText="1"/>
    </xf>
    <xf numFmtId="0" fontId="0" fillId="15" borderId="5" xfId="0" applyFill="1" applyBorder="1" applyAlignment="1">
      <alignment horizontal="center" wrapText="1"/>
    </xf>
    <xf numFmtId="0" fontId="0" fillId="15" borderId="6" xfId="0" applyFill="1" applyBorder="1" applyAlignment="1">
      <alignment horizontal="center" wrapText="1"/>
    </xf>
    <xf numFmtId="0" fontId="0" fillId="15" borderId="9" xfId="0" applyFill="1" applyBorder="1" applyAlignment="1">
      <alignment horizontal="center" wrapText="1"/>
    </xf>
    <xf numFmtId="0" fontId="0" fillId="15" borderId="10" xfId="0" applyFill="1" applyBorder="1" applyAlignment="1">
      <alignment horizontal="center" wrapText="1"/>
    </xf>
    <xf numFmtId="0" fontId="0" fillId="15" borderId="11" xfId="0" applyFill="1" applyBorder="1" applyAlignment="1">
      <alignment horizontal="center" wrapText="1"/>
    </xf>
    <xf numFmtId="0" fontId="4" fillId="10" borderId="0" xfId="0" applyFont="1" applyFill="1" applyAlignment="1">
      <alignment horizontal="left"/>
    </xf>
    <xf numFmtId="165" fontId="4" fillId="15" borderId="42" xfId="0" applyNumberFormat="1" applyFont="1" applyFill="1" applyBorder="1" applyAlignment="1">
      <alignment horizontal="center"/>
    </xf>
    <xf numFmtId="165" fontId="4" fillId="15" borderId="40" xfId="0" applyNumberFormat="1" applyFont="1" applyFill="1" applyBorder="1" applyAlignment="1">
      <alignment horizontal="center"/>
    </xf>
    <xf numFmtId="165" fontId="4" fillId="15" borderId="43" xfId="0" applyNumberFormat="1" applyFont="1" applyFill="1" applyBorder="1" applyAlignment="1">
      <alignment horizontal="center"/>
    </xf>
    <xf numFmtId="165" fontId="4" fillId="15" borderId="39" xfId="0" applyNumberFormat="1" applyFont="1" applyFill="1" applyBorder="1" applyAlignment="1">
      <alignment horizontal="center"/>
    </xf>
    <xf numFmtId="165" fontId="4" fillId="15" borderId="41" xfId="0" applyNumberFormat="1" applyFont="1" applyFill="1" applyBorder="1" applyAlignment="1">
      <alignment horizontal="center"/>
    </xf>
    <xf numFmtId="165" fontId="4" fillId="15" borderId="32" xfId="0" applyNumberFormat="1" applyFont="1" applyFill="1" applyBorder="1" applyAlignment="1">
      <alignment horizontal="center"/>
    </xf>
    <xf numFmtId="165" fontId="4" fillId="15" borderId="2" xfId="0" applyNumberFormat="1" applyFont="1" applyFill="1" applyBorder="1" applyAlignment="1">
      <alignment horizontal="center"/>
    </xf>
    <xf numFmtId="165" fontId="4" fillId="15" borderId="3" xfId="0" applyNumberFormat="1" applyFont="1" applyFill="1" applyBorder="1" applyAlignment="1">
      <alignment horizontal="center"/>
    </xf>
    <xf numFmtId="165" fontId="4" fillId="15" borderId="1" xfId="0" applyNumberFormat="1" applyFont="1" applyFill="1" applyBorder="1" applyAlignment="1">
      <alignment horizontal="center"/>
    </xf>
    <xf numFmtId="165" fontId="4" fillId="15" borderId="38" xfId="0" applyNumberFormat="1" applyFont="1" applyFill="1" applyBorder="1" applyAlignment="1">
      <alignment horizontal="center"/>
    </xf>
    <xf numFmtId="165" fontId="4" fillId="15" borderId="33" xfId="0" applyNumberFormat="1" applyFont="1" applyFill="1" applyBorder="1" applyAlignment="1">
      <alignment horizontal="center"/>
    </xf>
    <xf numFmtId="165" fontId="4" fillId="15" borderId="35" xfId="0" applyNumberFormat="1" applyFont="1" applyFill="1" applyBorder="1" applyAlignment="1">
      <alignment horizontal="center"/>
    </xf>
    <xf numFmtId="165" fontId="4" fillId="15" borderId="36" xfId="0" applyNumberFormat="1" applyFont="1" applyFill="1" applyBorder="1" applyAlignment="1">
      <alignment horizontal="center"/>
    </xf>
    <xf numFmtId="165" fontId="4" fillId="15" borderId="34" xfId="0" applyNumberFormat="1" applyFont="1" applyFill="1" applyBorder="1" applyAlignment="1">
      <alignment horizontal="center"/>
    </xf>
    <xf numFmtId="165" fontId="4" fillId="15" borderId="37" xfId="0" applyNumberFormat="1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0" borderId="0" xfId="0" applyFont="1" applyFill="1" applyAlignment="1">
      <alignment horizontal="center" wrapText="1"/>
    </xf>
    <xf numFmtId="0" fontId="4" fillId="10" borderId="0" xfId="0" applyFont="1" applyFill="1" applyAlignment="1">
      <alignment horizontal="center" wrapText="1"/>
    </xf>
    <xf numFmtId="0" fontId="4" fillId="10" borderId="0" xfId="0" applyFont="1" applyFill="1" applyAlignment="1">
      <alignment horizontal="left" wrapText="1"/>
    </xf>
    <xf numFmtId="0" fontId="0" fillId="15" borderId="1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67" xfId="0" applyFill="1" applyBorder="1" applyAlignment="1">
      <alignment horizontal="center"/>
    </xf>
    <xf numFmtId="0" fontId="0" fillId="10" borderId="0" xfId="0" applyFill="1" applyAlignment="1"/>
    <xf numFmtId="0" fontId="0" fillId="10" borderId="0" xfId="0" applyFill="1" applyAlignment="1">
      <alignment horizontal="left"/>
    </xf>
    <xf numFmtId="0" fontId="0" fillId="15" borderId="44" xfId="0" applyFill="1" applyBorder="1" applyAlignment="1">
      <alignment horizontal="center"/>
    </xf>
    <xf numFmtId="0" fontId="0" fillId="15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66FF33"/>
      <color rgb="FF00FFFF"/>
      <color rgb="FFD8E4BC"/>
      <color rgb="FFDCE6F1"/>
      <color rgb="FFD9D9D9"/>
      <color rgb="FFDDD9C4"/>
      <color rgb="FFFFFF66"/>
      <color rgb="FF385D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office/2006/xmlPackage' xmlns:ns2='urn:schemas-microsoft-com:vml' xmlns:ns3='urn:schemas-microsoft-com:office:office' xmlns:ns4='http://www.w3.org/XML/1998/namespace' xmlns:ns5='http://schemas.openxmlformats.org/wordprocessingml/2006/main' xmlns:ns6='http://schemas.openxmlformats.org/package/2006/relationships' xmlns:ns7='http://schemas.openxmlformats.org/package/2006/metadata/core-properties' xmlns:ns8='http://schemas.openxmlformats.org/officeDocument/2006/math' xmlns:ns9='http://schemas.openxmlformats.org/officeDocument/2006/extended-properties' xmlns:ns10='http://schemas.openxmlformats.org/officeDocument/2006/docPropsVTypes' xmlns:ns11='http://schemas.openxmlformats.org/markup-compatibility/2006' xmlns:ns12='http://schemas.openxmlformats.org/drawingml/2006/main' xmlns:ns13='http://purl.org/dc/terms/' xmlns:ns14='http://purl.org/dc/elements/1.1/'">
  <Schema ID="Schema1" Namespace="urn:schemas-microsoft-com:vml">
    <xsd:schema xmlns:xsd="http://www.w3.org/2001/XMLSchema" xmlns:ns0="urn:schemas-microsoft-com:vml" xmlns="" targetNamespace="urn:schemas-microsoft-com:vml">
      <xsd:attribute name="ext" type="xsd:string"/>
    </xsd:schema>
  </Schema>
  <Schema ID="Schema2" Namespace="urn:schemas-microsoft-com:office:office">
    <xsd:schema xmlns:xsd="http://www.w3.org/2001/XMLSchema" xmlns:ns0="urn:schemas-microsoft-com:vml" xmlns:ns1="urn:schemas-microsoft-com:office:office" xmlns="" targetNamespace="urn:schemas-microsoft-com:office:office">
      <xsd:import namespace="urn:schemas-microsoft-com:vml"/>
      <xsd:element nillable="true" name="shapedefaults">
        <xsd:complexType>
          <xsd:attribute ref="ns0:ext"/>
          <xsd:attribute name="spidmax" form="unqualified" type="xsd:integer"/>
        </xsd:complexType>
      </xsd:element>
      <xsd:element nillable="true" name="shapelayout">
        <xsd:complexType>
          <xsd:sequence minOccurs="0">
            <xsd:element minOccurs="0" nillable="true" name="idmap" form="qualified">
              <xsd:complexType>
                <xsd:attribute ref="ns0:ext"/>
                <xsd:attribute name="data" form="unqualified" type="xsd:integer"/>
              </xsd:complexType>
            </xsd:element>
          </xsd:sequence>
          <xsd:attribute ref="ns0:ext"/>
        </xsd:complexType>
      </xsd:element>
    </xsd:schema>
  </Schema>
  <Schema ID="Schema3" Namespace="http://www.w3.org/XML/1998/namespace">
    <xsd:schema xmlns:xsd="http://www.w3.org/2001/XMLSchema" xmlns:xml="http://www.w3.org/XML/1998/namespace" xmlns="" targetNamespace="http://www.w3.org/XML/1998/namespace">
      <xsd:attribute name="space" type="xsd:string"/>
    </xsd:schema>
  </Schema>
  <Schema ID="Schema4" Namespace="http://schemas.openxmlformats.org/wordprocessingml/2006/main">
    <xsd:schema xmlns:xsd="http://www.w3.org/2001/XMLSchema" xmlns:ns0="urn:schemas-microsoft-com:office:office" xmlns:xml="http://www.w3.org/XML/1998/namespace" xmlns:ns2="http://schemas.openxmlformats.org/wordprocessingml/2006/main" xmlns:ns3="http://schemas.openxmlformats.org/officeDocument/2006/math" xmlns:ns4="http://schemas.openxmlformats.org/markup-compatibility/2006" xmlns="" targetNamespace="http://schemas.openxmlformats.org/wordprocessingml/2006/main">
      <xsd:import namespace="urn:schemas-microsoft-com:office:office"/>
      <xsd:import namespace="http://www.w3.org/XML/1998/namespace"/>
      <xsd:import namespace="http://schemas.openxmlformats.org/officeDocument/2006/math"/>
      <xsd:import namespace="http://schemas.openxmlformats.org/markup-compatibility/2006"/>
      <xsd:element nillable="true" name="document">
        <xsd:complexType>
          <xsd:sequence minOccurs="0">
            <xsd:element minOccurs="0" nillable="true" name="body" form="qualified">
              <xsd:complexType>
                <xsd:sequence minOccurs="0">
                  <xsd:element minOccurs="0" maxOccurs="unbounded" nillable="true" name="p" form="qualified">
                    <xsd:complexType>
                      <xsd:sequence minOccurs="0">
                        <xsd:element minOccurs="0" nillable="true" name="pPr" form="qualified">
                          <xsd:complexType>
                            <xsd:sequence minOccurs="0">
                              <xsd:element minOccurs="0" nillable="true" name="spacing" form="qualified">
                                <xsd:complexType>
                                  <xsd:attribute ref="ns2:line"/>
                                  <xsd:attribute ref="ns2:lineRule"/>
                                </xsd:complexType>
                              </xsd:element>
                              <xsd:element minOccurs="0" nillable="true" name="jc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rPr" form="qualified">
                                <xsd:complexType>
                                  <xsd:all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  <xsd:element minOccurs="0" nillable="true" type="xsd:string" name="i" form="qualified"/>
                                    <xsd:element minOccurs="0" nillable="true" name="sz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zC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type="xsd:string" name="b" form="qualified"/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r" form="qualified">
                          <xsd:complexType>
                            <xsd:sequence minOccurs="0">
                              <xsd:element minOccurs="0" nillable="true" name="rPr" form="qualified">
                                <xsd:complexType>
                                  <xsd:all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  <xsd:element minOccurs="0" nillable="true" type="xsd:string" name="i" form="qualified"/>
                                    <xsd:element minOccurs="0" nillable="true" name="sz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zC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type="xsd:string" name="b" form="qualified"/>
                                  </xsd:all>
                                </xsd:complexType>
                              </xsd:element>
                              <xsd:element minOccurs="0" nillable="true" name="t" form="qualified">
                                <xsd:complexType>
                                  <xsd:simpleContent>
                                    <xsd:extension base="xsd:string">
                                      <xsd:attribute ref="xml:space"/>
                                    </xsd:extension>
                                  </xsd:simpleContent>
                                </xsd:complexType>
                              </xsd:element>
                            </xsd:sequence>
                            <xsd:attribute ref="ns2:rsidRPr"/>
                            <xsd:attribute ref="ns2:rsidR"/>
                          </xsd:complexType>
                        </xsd:element>
                      </xsd:sequence>
                      <xsd:attribute ref="ns2:rsidR"/>
                      <xsd:attribute ref="ns2:rsidRPr"/>
                      <xsd:attribute ref="ns2:rsidRDefault"/>
                      <xsd:attribute ref="ns2:rsidP"/>
                    </xsd:complexType>
                  </xsd:element>
                  <xsd:element minOccurs="0" nillable="true" name="tbl" form="qualified">
                    <xsd:complexType>
                      <xsd:sequence minOccurs="0">
                        <xsd:element minOccurs="0" nillable="true" name="tblPr" form="qualified">
                          <xsd:complexType>
                            <xsd:sequence minOccurs="0">
                              <xsd:element minOccurs="0" nillable="true" name="tblStyle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tblW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tblBorders" form="qualified">
                                <xsd:complexType>
                                  <xsd:sequence minOccurs="0">
                                    <xsd:element minOccurs="0" nillable="true" name="top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left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bottom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right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insideH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insideV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blLook" form="qualified">
                                <xsd:complexType>
                                  <xsd:attribute ref="ns2:val"/>
                                  <xsd:attribute ref="ns2:firstRow"/>
                                  <xsd:attribute ref="ns2:lastRow"/>
                                  <xsd:attribute ref="ns2:firstColumn"/>
                                  <xsd:attribute ref="ns2:lastColumn"/>
                                  <xsd:attribute ref="ns2:noHBand"/>
                                  <xsd:attribute ref="ns2:noVBand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blGrid" form="qualified">
                          <xsd:complexType>
                            <xsd:sequence minOccurs="0">
                              <xsd:element minOccurs="0" maxOccurs="unbounded" nillable="true" name="gridCol" form="qualified">
                                <xsd:complexType>
                                  <xsd:attribute ref="ns2:w"/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" form="qualified">
                          <xsd:complexType>
                            <xsd:sequence minOccurs="0" maxOccurs="unbounded">
                              <xsd:element minOccurs="0" maxOccurs="unbounded" nillable="true" name="tc" form="qualified">
                                <xsd:complexType>
                                  <xsd:sequence minOccurs="0">
                                    <xsd:element minOccurs="0" nillable="true" name="tcPr" form="qualified">
                                      <xsd:complexType>
                                        <xsd:sequence minOccurs="0">
                                          <xsd:element minOccurs="0" nillable="true" name="tcW" form="qualified">
                                            <xsd:complexType>
                                              <xsd:attribute ref="ns2:w"/>
                                              <xsd:attribute ref="ns2:type"/>
                                            </xsd:complexType>
                                          </xsd:element>
                                          <xsd:element minOccurs="0" nillable="true" name="gridSpan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vMerge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" form="qualified">
                                      <xsd:complexType>
                                        <xsd:sequence minOccurs="0">
                                          <xsd:element minOccurs="0" nillable="true" name="pPr" form="qualified">
                                            <xsd:complexType>
                                              <xsd:sequence minOccurs="0">
                                                <xsd:element minOccurs="0" nillable="true" name="rPr" form="qualified">
                                                  <xsd:complexType>
                                                    <xsd:all>
                                                      <xsd:element minOccurs="0" nillable="true" name="rFonts" form="qualified">
                                                        <xsd:complexType>
                                                          <xsd:attribute ref="ns2:ascii"/>
                                                          <xsd:attribute ref="ns2:hAnsi"/>
                                                        </xsd:complexType>
                                                      </xsd:element>
                                                      <xsd:element minOccurs="0" nillable="true" name="sz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szCs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type="xsd:string" name="b" form="qualified"/>
                                                    </xsd:all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r" form="qualified">
                                            <xsd:complexType>
                                              <xsd:sequence minOccurs="0">
                                                <xsd:element minOccurs="0" nillable="true" name="rPr" form="qualified">
                                                  <xsd:complexType>
                                                    <xsd:all>
                                                      <xsd:element minOccurs="0" nillable="true" name="rFonts" form="qualified">
                                                        <xsd:complexType>
                                                          <xsd:attribute ref="ns2:ascii"/>
                                                          <xsd:attribute ref="ns2:hAnsi"/>
                                                        </xsd:complexType>
                                                      </xsd:element>
                                                      <xsd:element minOccurs="0" nillable="true" type="xsd:string" name="b" form="qualified"/>
                                                      <xsd:element minOccurs="0" nillable="true" name="sz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szCs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</xsd:all>
                                                  </xsd:complexType>
                                                </xsd:element>
                                                <xsd:element minOccurs="0" nillable="true" name="t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ref="xml:space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ref="ns2:rsidRPr"/>
                                            </xsd:complexType>
                                          </xsd:element>
                                        </xsd:sequence>
                                        <xsd:attribute ref="ns2:rsidR"/>
                                        <xsd:attribute ref="ns2:rsidRPr"/>
                                        <xsd:attribute ref="ns2:rsidRDefault"/>
                                        <xsd:attribute ref="ns2:rsidP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sdt" form="qualified">
                                <xsd:complexType>
                                  <xsd:sequence minOccurs="0">
                                    <xsd:element minOccurs="0" nillable="true" name="sdtPr" form="qualified">
                                      <xsd:complexType>
                                        <xsd:all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Fonts" form="qualified">
                                                  <xsd:complexType>
                                                    <xsd:attribute ref="ns2:ascii"/>
                                                    <xsd:attribute ref="ns2:hAnsi"/>
                                                  </xsd:complexType>
                                                </xsd:element>
                                                <xsd:element minOccurs="0" nillable="true" name="sz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C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lias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tag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id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placeholder" form="qualified">
                                            <xsd:complexType>
                                              <xsd:sequence minOccurs="0">
                                                <xsd:element minOccurs="0" nillable="true" name="docPart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date" form="qualified">
                                            <xsd:complexType>
                                              <xsd:sequence minOccurs="0">
                                                <xsd:element minOccurs="0" nillable="true" name="dateFormat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lid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toreMappedDataA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calendar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  <xsd:attribute ref="ns2:fullDate"/>
                                            </xsd:complexType>
                                          </xsd:element>
                                          <xsd:element minOccurs="0" nillable="true" type="xsd:string" name="showingPlcHdr" form="qualified"/>
                                        </xsd:all>
                                      </xsd:complexType>
                                    </xsd:element>
                                    <xsd:element minOccurs="0" nillable="true" name="sdtContent" form="qualified">
                                      <xsd:complexType>
                                        <xsd:sequence minOccurs="0">
                                          <xsd:element minOccurs="0" nillable="true" name="tc" form="qualified">
                                            <xsd:complexType>
                                              <xsd:sequence minOccurs="0">
                                                <xsd:element minOccurs="0" nillable="true" name="tcPr" form="qualified">
                                                  <xsd:complexType>
                                                    <xsd:sequence minOccurs="0">
                                                      <xsd:element minOccurs="0" nillable="true" name="tcW" form="qualified">
                                                        <xsd:complexType>
                                                          <xsd:attribute ref="ns2:w"/>
                                                          <xsd:attribute ref="ns2:type"/>
                                                        </xsd:complexType>
                                                      </xsd:element>
                                                      <xsd:element minOccurs="0" nillable="true" name="gridSpan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vMerge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p" form="qualified">
                                                  <xsd:complexType>
                                                    <xsd:sequence minOccurs="0">
                                                      <xsd:element minOccurs="0" nillable="true" name="pP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rPr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rFonts" form="qualified">
                                                                    <xsd:complexType>
                                                                      <xsd:attribute ref="ns2:ascii"/>
                                                                      <xsd:attribute ref="ns2:hAnsi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Cs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rPr" form="qualified">
                                                              <xsd:complexType>
                                                                <xsd:all>
                                                                  <xsd:element minOccurs="0" nillable="true" name="rFonts" form="qualified">
                                                                    <xsd:complexType>
                                                                      <xsd:attribute ref="ns2:ascii"/>
                                                                      <xsd:attribute ref="ns2:hAnsi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Cs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rStyle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t" form="qualified"/>
                                                          </xsd:sequence>
                                                          <xsd:attribute ref="ns2:rsidRPr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ref="ns2:rsidR"/>
                                                    <xsd:attribute ref="ns2:rsidRPr"/>
                                                    <xsd:attribute ref="ns2:rsidRDefault"/>
                                                    <xsd:attribute ref="ns2:rsidP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bookmarkStart" form="qualified">
                                            <xsd:complexType>
                                              <xsd:attribute ref="ns2:id"/>
                                              <xsd:attribute ref="ns2:name"/>
                                              <xsd:attribute ref="ns2:displacedByCustomXml"/>
                                            </xsd:complexType>
                                          </xsd:element>
                                          <xsd:element minOccurs="0" nillable="true" name="bookmarkEnd" form="qualified">
                                            <xsd:complexType>
                                              <xsd:attribute ref="ns2:id"/>
                                              <xsd:attribute ref="ns2:displacedByCustomXm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rPr" form="qualified">
                                <xsd:complexType>
                                  <xsd:sequence minOccurs="0">
                                    <xsd:element minOccurs="0" nillable="true" name="trHeigh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ref="ns2:rsidR"/>
                            <xsd:attribute ref="ns2:rsidTr"/>
                          </xsd:complexType>
                        </xsd:element>
                      </xsd:sequence>
                    </xsd:complexType>
                  </xsd:element>
                  <xsd:element minOccurs="0" nillable="true" name="sdt" form="qualified">
                    <xsd:complexType>
                      <xsd:sequence minOccurs="0">
                        <xsd:element minOccurs="0" nillable="true" name="sdtPr" form="qualified">
                          <xsd:complexType>
                            <xsd:sequence minOccurs="0">
                              <xsd:element minOccurs="0" nillable="true" name="rPr" form="qualified">
                                <xsd:complexType>
                                  <xsd:sequence minOccurs="0"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id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placeholder" form="qualified">
                                <xsd:complexType>
                                  <xsd:sequence minOccurs="0">
                                    <xsd:element minOccurs="0" nillable="true" name="docPar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showingPlcHdr" form="qualified"/>
                              <xsd:element minOccurs="0" nillable="true" name="date" form="qualified">
                                <xsd:complexType>
                                  <xsd:sequence minOccurs="0">
                                    <xsd:element minOccurs="0" nillable="true" name="dateForma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lid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toreMappedDataA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calendar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dtContent" form="qualified">
                          <xsd:complexType>
                            <xsd:sequence minOccurs="0">
                              <xsd:element minOccurs="0" nillable="true" name="p" form="qualified">
                                <xsd:complexType>
                                  <xsd:sequence minOccurs="0">
                                    <xsd:element minOccurs="0" nillable="true" name="pP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Fonts" form="qualified">
                                                  <xsd:complexType>
                                                    <xsd:attribute ref="ns2:ascii"/>
                                                    <xsd:attribute ref="ns2:hAnsi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Style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" form="qualified"/>
                                        </xsd:sequence>
                                        <xsd:attribute ref="ns2:rsidRPr"/>
                                      </xsd:complexType>
                                    </xsd:element>
                                  </xsd:sequence>
                                  <xsd:attribute ref="ns2:rsidR"/>
                                  <xsd:attribute ref="ns2:rsidRPr"/>
                                  <xsd:attribute ref="ns2:rsidRDefault"/>
                                  <xsd:attribute ref="ns2:rsidP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sectPr" form="qualified">
                    <xsd:complexType>
                      <xsd:sequence minOccurs="0">
                        <xsd:element minOccurs="0" nillable="true" name="pgSz" form="qualified">
                          <xsd:complexType>
                            <xsd:attribute ref="ns2:w"/>
                            <xsd:attribute ref="ns2:h"/>
                          </xsd:complexType>
                        </xsd:element>
                        <xsd:element minOccurs="0" nillable="true" name="pgMar" form="qualified">
                          <xsd:complexType>
                            <xsd:attribute ref="ns2:top"/>
                            <xsd:attribute ref="ns2:right"/>
                            <xsd:attribute ref="ns2:bottom"/>
                            <xsd:attribute ref="ns2:left"/>
                            <xsd:attribute ref="ns2:header"/>
                            <xsd:attribute ref="ns2:footer"/>
                            <xsd:attribute ref="ns2:gutter"/>
                          </xsd:complexType>
                        </xsd:element>
                        <xsd:element minOccurs="0" nillable="true" name="cols" form="qualified">
                          <xsd:complexType>
                            <xsd:attribute ref="ns2:space"/>
                          </xsd:complexType>
                        </xsd:element>
                        <xsd:element minOccurs="0" nillable="true" name="docGrid" form="qualified">
                          <xsd:complexType>
                            <xsd:attribute ref="ns2:linePitch"/>
                          </xsd:complexType>
                        </xsd:element>
                      </xsd:sequence>
                      <xsd:attribute ref="ns2:rsidR"/>
                      <xsd:attribute ref="ns2:rsidRPr"/>
                      <xsd:attribute ref="ns2:rsidSect"/>
                    </xsd:complexType>
                  </xsd:element>
                </xsd:sequence>
              </xsd:complexType>
            </xsd:element>
          </xsd:sequence>
          <xsd:attribute ref="ns4:Ignorable"/>
        </xsd:complexType>
      </xsd:element>
      <xsd:element nillable="true" name="settings">
        <xsd:complexType>
          <xsd:all>
            <xsd:element minOccurs="0" nillable="true" name="view" form="qualified">
              <xsd:complexType>
                <xsd:attribute ref="ns2:val"/>
              </xsd:complexType>
            </xsd:element>
            <xsd:element minOccurs="0" nillable="true" name="defaultTabStop" form="qualified">
              <xsd:complexType>
                <xsd:attribute ref="ns2:val"/>
              </xsd:complexType>
            </xsd:element>
            <xsd:element minOccurs="0" nillable="true" name="characterSpacingControl" form="qualified">
              <xsd:complexType>
                <xsd:attribute ref="ns2:val"/>
              </xsd:complexType>
            </xsd:element>
            <xsd:element minOccurs="0" nillable="true" name="compat" form="qualified">
              <xsd:complexType>
                <xsd:sequence minOccurs="0" maxOccurs="unbounded">
                  <xsd:element minOccurs="0" nillable="true" type="xsd:string" name="useFELayout" form="qualified"/>
                  <xsd:element minOccurs="0" maxOccurs="unbounded" nillable="true" name="compatSetting" form="qualified">
                    <xsd:complexType>
                      <xsd:attribute ref="ns2:name"/>
                      <xsd:attribute ref="ns2:uri"/>
                      <xsd:attribute ref="ns2:val"/>
                    </xsd:complexType>
                  </xsd:element>
                </xsd:sequence>
              </xsd:complexType>
            </xsd:element>
            <xsd:element minOccurs="0" nillable="true" name="rsids" form="qualified">
              <xsd:complexType>
                <xsd:sequence minOccurs="0">
                  <xsd:element minOccurs="0" nillable="true" name="rsidRoot" form="qualified">
                    <xsd:complexType>
                      <xsd:attribute ref="ns2:val"/>
                    </xsd:complexType>
                  </xsd:element>
                  <xsd:element minOccurs="0" maxOccurs="unbounded" nillable="true" name="rsid" form="qualified">
                    <xsd:complexType>
                      <xsd:attribute ref="ns2:val"/>
                    </xsd:complexType>
                  </xsd:element>
                </xsd:sequence>
              </xsd:complexType>
            </xsd:element>
            <xsd:element minOccurs="0" ref="ns3:mathPr"/>
            <xsd:element minOccurs="0" nillable="true" name="themeFontLang" form="qualified">
              <xsd:complexType>
                <xsd:attribute ref="ns2:val"/>
              </xsd:complexType>
            </xsd:element>
            <xsd:element minOccurs="0" nillable="true" name="clrSchemeMapping" form="qualified">
              <xsd:complexType>
                <xsd:attribute ref="ns2:bg1"/>
                <xsd:attribute ref="ns2:t1"/>
                <xsd:attribute ref="ns2:bg2"/>
                <xsd:attribute ref="ns2:t2"/>
                <xsd:attribute ref="ns2:accent1"/>
                <xsd:attribute ref="ns2:accent2"/>
                <xsd:attribute ref="ns2:accent3"/>
                <xsd:attribute ref="ns2:accent4"/>
                <xsd:attribute ref="ns2:accent5"/>
                <xsd:attribute ref="ns2:accent6"/>
                <xsd:attribute ref="ns2:hyperlink"/>
                <xsd:attribute ref="ns2:followedHyperlink"/>
              </xsd:complexType>
            </xsd:element>
            <xsd:element minOccurs="0" nillable="true" name="decimalSymbol" form="qualified">
              <xsd:complexType>
                <xsd:attribute ref="ns2:val"/>
              </xsd:complexType>
            </xsd:element>
            <xsd:element minOccurs="0" nillable="true" name="listSeparator" form="qualified">
              <xsd:complexType>
                <xsd:attribute ref="ns2:val"/>
              </xsd:complexType>
            </xsd:element>
            <xsd:element minOccurs="0" nillable="true" name="zoom" form="qualified">
              <xsd:complexType>
                <xsd:attribute ref="ns2:percent"/>
              </xsd:complexType>
            </xsd:element>
            <xsd:element minOccurs="0" nillable="true" name="proofState" form="qualified">
              <xsd:complexType>
                <xsd:attribute ref="ns2:spelling"/>
                <xsd:attribute ref="ns2:grammar"/>
              </xsd:complexType>
            </xsd:element>
            <xsd:element minOccurs="0" nillable="true" type="xsd:string" name="saveInvalidXml" form="qualified"/>
            <xsd:element minOccurs="0" nillable="true" name="attachedSchema" form="qualified">
              <xsd:complexType>
                <xsd:attribute ref="ns2:val"/>
              </xsd:complexType>
            </xsd:element>
            <xsd:element minOccurs="0" nillable="true" name="shapeDefaults" form="qualified">
              <xsd:complexType>
                <xsd:sequence minOccurs="0">
                  <xsd:element minOccurs="0" ref="ns0:shapedefaults"/>
                  <xsd:element minOccurs="0" ref="ns0:shapelayout"/>
                </xsd:sequence>
              </xsd:complexType>
            </xsd:element>
          </xsd:all>
          <xsd:attribute ref="ns4:Ignorable"/>
        </xsd:complexType>
      </xsd:element>
      <xsd:element nillable="true" name="glossaryDocument">
        <xsd:complexType>
          <xsd:sequence minOccurs="0">
            <xsd:element minOccurs="0" nillable="true" name="docParts" form="qualified">
              <xsd:complexType>
                <xsd:sequence minOccurs="0">
                  <xsd:element minOccurs="0" maxOccurs="unbounded" nillable="true" name="docPart" form="qualified">
                    <xsd:complexType>
                      <xsd:sequence minOccurs="0">
                        <xsd:element minOccurs="0" nillable="true" name="docPartPr" form="qualified">
                          <xsd:complexType>
                            <xsd:sequence minOccurs="0">
                              <xsd:element minOccurs="0" nillable="true" name="name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category" form="qualified">
                                <xsd:complexType>
                                  <xsd:sequence minOccurs="0">
                                    <xsd:element minOccurs="0" nillable="true" name="name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gallery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ypes" form="qualified">
                                <xsd:complexType>
                                  <xsd:sequence minOccurs="0">
                                    <xsd:element minOccurs="0" nillable="true" name="type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behaviors" form="qualified">
                                <xsd:complexType>
                                  <xsd:sequence minOccurs="0">
                                    <xsd:element minOccurs="0" nillable="true" name="behavior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guid" form="qualified">
                                <xsd:complexType>
                                  <xsd:attribute ref="ns2:val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ocPartBody" form="qualified">
                          <xsd:complexType>
                            <xsd:sequence minOccurs="0">
                              <xsd:element minOccurs="0" nillable="true" name="p" form="qualified">
                                <xsd:complexType>
                                  <xsd:all>
                                    <xsd:element minOccurs="0" nillable="true" name="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Style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C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" form="qualified"/>
                                        </xsd:sequence>
                                        <xsd:attribute ref="ns2:rsidRPr"/>
                                      </xsd:complexType>
                                    </xsd:element>
                                    <xsd:element minOccurs="0" nillable="true" name="pPr" form="qualified">
                                      <xsd:complexType>
                                        <xsd:sequence minOccurs="0">
                                          <xsd:element minOccurs="0" nillable="true" name="pStyle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all>
                                  <xsd:attribute ref="ns2:rsidR"/>
                                  <xsd:attribute ref="ns2:rsidRDefault"/>
                                  <xsd:attribute ref="ns2:rsidP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ref="ns4:Ignorable"/>
        </xsd:complexType>
      </xsd:element>
      <xsd:element nillable="true" name="styles">
        <xsd:complexType>
          <xsd:sequence minOccurs="0">
            <xsd:element minOccurs="0" nillable="true" name="docDefaults" form="qualified">
              <xsd:complexType>
                <xsd:sequence minOccurs="0">
                  <xsd:element minOccurs="0" nillable="true" name="rPrDefault" form="qualified">
                    <xsd:complexType>
                      <xsd:sequence minOccurs="0">
                        <xsd:element minOccurs="0" nillable="true" name="rPr" form="qualified">
                          <xsd:complexType>
                            <xsd:sequence minOccurs="0">
                              <xsd:element minOccurs="0" nillable="true" name="rFonts" form="qualified">
                                <xsd:complexType>
                                  <xsd:attribute ref="ns2:asciiTheme"/>
                                  <xsd:attribute ref="ns2:eastAsiaTheme"/>
                                  <xsd:attribute ref="ns2:hAnsiTheme"/>
                                  <xsd:attribute ref="ns2:cstheme"/>
                                </xsd:complexType>
                              </xsd:element>
                              <xsd:element minOccurs="0" nillable="true" name="sz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szCs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lang" form="qualified">
                                <xsd:complexType>
                                  <xsd:attribute ref="ns2:val"/>
                                  <xsd:attribute ref="ns2:eastAsia"/>
                                  <xsd:attribute ref="ns2:bidi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PrDefault" form="qualified">
                    <xsd:complexType>
                      <xsd:sequence minOccurs="0">
                        <xsd:element minOccurs="0" nillable="true" name="pPr" form="qualified">
                          <xsd:complexType>
                            <xsd:sequence minOccurs="0">
                              <xsd:element minOccurs="0" nillable="true" name="spacing" form="qualified">
                                <xsd:complexType>
                                  <xsd:attribute ref="ns2:after"/>
                                  <xsd:attribute ref="ns2:line"/>
                                  <xsd:attribute ref="ns2:lineRule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name="latentStyles" form="qualified">
              <xsd:complexType>
                <xsd:sequence minOccurs="0">
                  <xsd:element minOccurs="0" maxOccurs="unbounded" nillable="true" name="lsdException" form="qualified">
                    <xsd:complexType>
                      <xsd:attribute ref="ns2:name"/>
                      <xsd:attribute ref="ns2:semiHidden"/>
                      <xsd:attribute ref="ns2:uiPriority"/>
                      <xsd:attribute ref="ns2:unhideWhenUsed"/>
                      <xsd:attribute ref="ns2:qFormat"/>
                    </xsd:complexType>
                  </xsd:element>
                </xsd:sequence>
                <xsd:attribute ref="ns2:defLockedState"/>
                <xsd:attribute ref="ns2:defUIPriority"/>
                <xsd:attribute ref="ns2:defSemiHidden"/>
                <xsd:attribute ref="ns2:defUnhideWhenUsed"/>
                <xsd:attribute ref="ns2:defQFormat"/>
                <xsd:attribute ref="ns2:count"/>
              </xsd:complexType>
            </xsd:element>
            <xsd:element minOccurs="0" maxOccurs="unbounded" nillable="true" name="style" form="qualified">
              <xsd:complexType>
                <xsd:all>
                  <xsd:element minOccurs="0" nillable="true" name="name" form="qualified">
                    <xsd:complexType>
                      <xsd:attribute ref="ns2:val"/>
                    </xsd:complexType>
                  </xsd:element>
                  <xsd:element minOccurs="0" nillable="true" type="xsd:string" name="qFormat" form="qualified"/>
                  <xsd:element minOccurs="0" nillable="true" name="uiPriority" form="qualified">
                    <xsd:complexType>
                      <xsd:attribute ref="ns2:val"/>
                    </xsd:complexType>
                  </xsd:element>
                  <xsd:element minOccurs="0" nillable="true" type="xsd:string" name="semiHidden" form="qualified"/>
                  <xsd:element minOccurs="0" nillable="true" type="xsd:string" name="unhideWhenUsed" form="qualified"/>
                  <xsd:element minOccurs="0" nillable="true" name="tblPr" form="qualified">
                    <xsd:complexType>
                      <xsd:all>
                        <xsd:element minOccurs="0" nillable="true" name="tblInd" form="qualified">
                          <xsd:complexType>
                            <xsd:attribute ref="ns2:w"/>
                            <xsd:attribute ref="ns2:type"/>
                          </xsd:complexType>
                        </xsd:element>
                        <xsd:element minOccurs="0" nillable="true" name="tblCellMar" form="qualified">
                          <xsd:complexType>
                            <xsd:sequence minOccurs="0">
                              <xsd:element minOccurs="0" nillable="true" name="top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left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bottom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right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blBorders" form="qualified">
                          <xsd:complexType>
                            <xsd:sequence minOccurs="0">
                              <xsd:element minOccurs="0" nillable="true" name="top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left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bottom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right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insideH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insideV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</xsd:complexType>
                  </xsd:element>
                  <xsd:element minOccurs="0" nillable="true" name="basedOn" form="qualified">
                    <xsd:complexType>
                      <xsd:attribute ref="ns2:val"/>
                    </xsd:complexType>
                  </xsd:element>
                  <xsd:element minOccurs="0" nillable="true" name="rsid" form="qualified">
                    <xsd:complexType>
                      <xsd:attribute ref="ns2:val"/>
                    </xsd:complexType>
                  </xsd:element>
                  <xsd:element minOccurs="0" nillable="true" name="rPr" form="qualified">
                    <xsd:complexType>
                      <xsd:all>
                        <xsd:element minOccurs="0" nillable="true" name="color" form="qualified">
                          <xsd:complexType>
                            <xsd:attribute ref="ns2:val"/>
                          </xsd:complexType>
                        </xsd:element>
                        <xsd:element minOccurs="0" nillable="true" name="rFonts" form="qualified">
                          <xsd:complexType>
                            <xsd:attribute ref="ns2:ascii"/>
                            <xsd:attribute ref="ns2:hAnsi"/>
                            <xsd:attribute ref="ns2:cs"/>
                            <xsd:attribute ref="ns2:eastAsiaTheme"/>
                          </xsd:complexType>
                        </xsd:element>
                        <xsd:element minOccurs="0" nillable="true" name="sz" form="qualified">
                          <xsd:complexType>
                            <xsd:attribute ref="ns2:val"/>
                          </xsd:complexType>
                        </xsd:element>
                        <xsd:element minOccurs="0" nillable="true" name="szCs" form="qualified">
                          <xsd:complexType>
                            <xsd:attribute ref="ns2:val"/>
                          </xsd:complexType>
                        </xsd:element>
                      </xsd:all>
                    </xsd:complexType>
                  </xsd:element>
                  <xsd:element minOccurs="0" nillable="true" name="link" form="qualified">
                    <xsd:complexType>
                      <xsd:attribute ref="ns2:val"/>
                    </xsd:complexType>
                  </xsd:element>
                  <xsd:element minOccurs="0" nillable="true" name="pPr" form="qualified">
                    <xsd:complexType>
                      <xsd:sequence minOccurs="0">
                        <xsd:element minOccurs="0" nillable="true" name="spacing" form="qualified">
                          <xsd:complexType>
                            <xsd:attribute ref="ns2:after"/>
                            <xsd:attribute ref="ns2:line"/>
                            <xsd:attribute ref="ns2:lineRule"/>
                          </xsd:complexType>
                        </xsd:element>
                      </xsd:sequence>
                    </xsd:complexType>
                  </xsd:element>
                </xsd:all>
                <xsd:attribute ref="ns2:type"/>
                <xsd:attribute ref="ns2:default"/>
                <xsd:attribute ref="ns2:styleId"/>
                <xsd:attribute ref="ns2:customStyle"/>
              </xsd:complexType>
            </xsd:element>
          </xsd:sequence>
          <xsd:attribute ref="ns4:Ignorable"/>
        </xsd:complexType>
      </xsd:element>
      <xsd:element nillable="true" name="webSettings">
        <xsd:complexType>
          <xsd:sequence minOccurs="0">
            <xsd:element minOccurs="0" nillable="true" type="xsd:string" name="optimizeForBrowser" form="qualified"/>
            <xsd:element minOccurs="0" nillable="true" type="xsd:string" name="allowPNG" form="qualified"/>
          </xsd:sequence>
          <xsd:attribute ref="ns4:Ignorable"/>
        </xsd:complexType>
      </xsd:element>
      <xsd:element nillable="true" name="fonts">
        <xsd:complexType>
          <xsd:sequence minOccurs="0">
            <xsd:element minOccurs="0" maxOccurs="unbounded" nillable="true" name="font" form="qualified">
              <xsd:complexType>
                <xsd:all>
                  <xsd:element minOccurs="0" nillable="true" name="panose1" form="qualified">
                    <xsd:complexType>
                      <xsd:attribute ref="ns2:val"/>
                    </xsd:complexType>
                  </xsd:element>
                  <xsd:element minOccurs="0" nillable="true" name="charset" form="qualified">
                    <xsd:complexType>
                      <xsd:attribute ref="ns2:val"/>
                    </xsd:complexType>
                  </xsd:element>
                  <xsd:element minOccurs="0" nillable="true" name="family" form="qualified">
                    <xsd:complexType>
                      <xsd:attribute ref="ns2:val"/>
                    </xsd:complexType>
                  </xsd:element>
                  <xsd:element minOccurs="0" nillable="true" name="pitch" form="qualified">
                    <xsd:complexType>
                      <xsd:attribute ref="ns2:val"/>
                    </xsd:complexType>
                  </xsd:element>
                  <xsd:element minOccurs="0" nillable="true" name="sig" form="qualified">
                    <xsd:complexType>
                      <xsd:attribute ref="ns2:usb0"/>
                      <xsd:attribute ref="ns2:usb1"/>
                      <xsd:attribute ref="ns2:usb2"/>
                      <xsd:attribute ref="ns2:usb3"/>
                      <xsd:attribute ref="ns2:csb0"/>
                      <xsd:attribute ref="ns2:csb1"/>
                    </xsd:complexType>
                  </xsd:element>
                  <xsd:element minOccurs="0" nillable="true" name="altName" form="qualified">
                    <xsd:complexType>
                      <xsd:attribute ref="ns2:val"/>
                    </xsd:complexType>
                  </xsd:element>
                </xsd:all>
                <xsd:attribute ref="ns2:name"/>
              </xsd:complexType>
            </xsd:element>
          </xsd:sequence>
          <xsd:attribute ref="ns4:Ignorable"/>
        </xsd:complexType>
      </xsd:element>
      <xsd:attribute name="rsidR" type="xsd:string"/>
      <xsd:attribute name="rsidRPr" type="xsd:string"/>
      <xsd:attribute name="rsidRDefault" type="xsd:string"/>
      <xsd:attribute name="rsidP" type="xsd:string"/>
      <xsd:attribute name="line" type="xsd:integer"/>
      <xsd:attribute name="lineRule" type="xsd:string"/>
      <xsd:attribute name="val" type="xsd:string"/>
      <xsd:attribute name="ascii" type="xsd:string"/>
      <xsd:attribute name="hAnsi" type="xsd:string"/>
      <xsd:attribute name="w" type="xsd:integer"/>
      <xsd:attribute name="type" type="xsd:string"/>
      <xsd:attribute name="sz" type="xsd:integer"/>
      <xsd:attribute name="space" type="xsd:integer"/>
      <xsd:attribute name="color" type="xsd:string"/>
      <xsd:attribute name="firstRow" type="xsd:integer"/>
      <xsd:attribute name="lastRow" type="xsd:integer"/>
      <xsd:attribute name="firstColumn" type="xsd:integer"/>
      <xsd:attribute name="lastColumn" type="xsd:integer"/>
      <xsd:attribute name="noHBand" type="xsd:integer"/>
      <xsd:attribute name="noVBand" type="xsd:integer"/>
      <xsd:attribute name="rsidTr" type="xsd:string"/>
      <xsd:attribute name="id" type="xsd:integer"/>
      <xsd:attribute name="name" type="xsd:string"/>
      <xsd:attribute name="displacedByCustomXml" type="xsd:string"/>
      <xsd:attribute name="fullDate" type="xsd:dateTime"/>
      <xsd:attribute name="rsidSect" type="xsd:integer"/>
      <xsd:attribute name="h" type="xsd:integer"/>
      <xsd:attribute name="top" type="xsd:integer"/>
      <xsd:attribute name="right" type="xsd:integer"/>
      <xsd:attribute name="bottom" type="xsd:integer"/>
      <xsd:attribute name="left" type="xsd:integer"/>
      <xsd:attribute name="header" type="xsd:integer"/>
      <xsd:attribute name="footer" type="xsd:integer"/>
      <xsd:attribute name="gutter" type="xsd:integer"/>
      <xsd:attribute name="linePitch" type="xsd:integer"/>
      <xsd:attribute name="uri" type="xsd:anyURI"/>
      <xsd:attribute name="bg1" type="xsd:string"/>
      <xsd:attribute name="t1" type="xsd:string"/>
      <xsd:attribute name="bg2" type="xsd:string"/>
      <xsd:attribute name="t2" type="xsd:string"/>
      <xsd:attribute name="accent1" type="xsd:string"/>
      <xsd:attribute name="accent2" type="xsd:string"/>
      <xsd:attribute name="accent3" type="xsd:string"/>
      <xsd:attribute name="accent4" type="xsd:string"/>
      <xsd:attribute name="accent5" type="xsd:string"/>
      <xsd:attribute name="accent6" type="xsd:string"/>
      <xsd:attribute name="hyperlink" type="xsd:string"/>
      <xsd:attribute name="followedHyperlink" type="xsd:string"/>
      <xsd:attribute name="percent" type="xsd:integer"/>
      <xsd:attribute name="spelling" type="xsd:string"/>
      <xsd:attribute name="grammar" type="xsd:string"/>
      <xsd:attribute name="asciiTheme" type="xsd:string"/>
      <xsd:attribute name="eastAsiaTheme" type="xsd:string"/>
      <xsd:attribute name="hAnsiTheme" type="xsd:string"/>
      <xsd:attribute name="cstheme" type="xsd:string"/>
      <xsd:attribute name="eastAsia" type="xsd:string"/>
      <xsd:attribute name="bidi" type="xsd:string"/>
      <xsd:attribute name="after" type="xsd:integer"/>
      <xsd:attribute name="defLockedState" type="xsd:integer"/>
      <xsd:attribute name="defUIPriority" type="xsd:integer"/>
      <xsd:attribute name="defSemiHidden" type="xsd:integer"/>
      <xsd:attribute name="defUnhideWhenUsed" type="xsd:integer"/>
      <xsd:attribute name="defQFormat" type="xsd:integer"/>
      <xsd:attribute name="count" type="xsd:integer"/>
      <xsd:attribute name="semiHidden" type="xsd:integer"/>
      <xsd:attribute name="uiPriority" type="xsd:integer"/>
      <xsd:attribute name="unhideWhenUsed" type="xsd:integer"/>
      <xsd:attribute name="qFormat" type="xsd:integer"/>
      <xsd:attribute name="default" type="xsd:integer"/>
      <xsd:attribute name="styleId" type="xsd:string"/>
      <xsd:attribute name="cs" type="xsd:string"/>
      <xsd:attribute name="customStyle" type="xsd:integer"/>
      <xsd:attribute name="usb0" type="xsd:string"/>
      <xsd:attribute name="usb1" type="xsd:string"/>
      <xsd:attribute name="usb2" type="xsd:integer"/>
      <xsd:attribute name="usb3" type="xsd:integer"/>
      <xsd:attribute name="csb0" type="xsd:string"/>
      <xsd:attribute name="csb1" type="xsd:integer"/>
    </xsd:schema>
  </Schema>
  <Schema ID="Schema5" Namespace="http://schemas.openxmlformats.org/package/2006/relationships">
    <xsd:schema xmlns:xsd="http://www.w3.org/2001/XMLSchema" xmlns:ns0="http://schemas.openxmlformats.org/package/2006/relationships" xmlns="" targetNamespace="http://schemas.openxmlformats.org/package/2006/relationships">
      <xsd:element nillable="true" name="Relationships">
        <xsd:complexType>
          <xsd:sequence minOccurs="0">
            <xsd:element minOccurs="0" maxOccurs="unbounded" nillable="true" name="Relationship" form="qualified">
              <xsd:complexType>
                <xsd:attribute name="Id" form="unqualified" type="xsd:string"/>
                <xsd:attribute name="Type" form="unqualified" type="xsd:anyURI"/>
                <xsd:attribute name="Target" form="unqualified" type="xsd:string"/>
              </xsd:complexType>
            </xsd:element>
          </xsd:sequence>
        </xsd:complexType>
      </xsd:element>
    </xsd:schema>
  </Schema>
  <Schema ID="Schema6" Namespace="http://schemas.openxmlformats.org/package/2006/metadata/core-properties">
    <xsd:schema xmlns:xsd="http://www.w3.org/2001/XMLSchema" xmlns:ns0="http://schemas.openxmlformats.org/package/2006/metadata/core-properties" xmlns:ns1="http://purl.org/dc/terms/" xmlns:ns2="http://purl.org/dc/elements/1.1/" xmlns="" targetNamespace="http://schemas.openxmlformats.org/package/2006/metadata/core-properties">
      <xsd:import namespace="http://purl.org/dc/terms/"/>
      <xsd:import namespace="http://purl.org/dc/elements/1.1/"/>
      <xsd:element nillable="true" name="coreProperties">
        <xsd:complexType>
          <xsd:sequence minOccurs="0">
            <xsd:element minOccurs="0" ref="ns2:creator"/>
            <xsd:element minOccurs="0" nillable="true" type="xsd:string" name="lastModifiedBy" form="qualified"/>
            <xsd:element minOccurs="0" nillable="true" type="xsd:integer" name="revision" form="qualified"/>
            <xsd:element minOccurs="0" ref="ns1:created"/>
            <xsd:element minOccurs="0" ref="ns1:modified"/>
          </xsd:sequence>
        </xsd:complexType>
      </xsd:element>
    </xsd:schema>
  </Schema>
  <Schema ID="Schema7" Namespace="http://schemas.openxmlformats.org/officeDocument/2006/math">
    <xsd:schema xmlns:xsd="http://www.w3.org/2001/XMLSchema" xmlns:ns0="http://schemas.openxmlformats.org/officeDocument/2006/math" xmlns="" targetNamespace="http://schemas.openxmlformats.org/officeDocument/2006/math">
      <xsd:element nillable="true" name="mathPr">
        <xsd:complexType>
          <xsd:sequence minOccurs="0">
            <xsd:element minOccurs="0" nillable="true" name="mathFont" form="qualified">
              <xsd:complexType>
                <xsd:attribute ref="ns0:val"/>
              </xsd:complexType>
            </xsd:element>
            <xsd:element minOccurs="0" nillable="true" name="brkBin" form="qualified">
              <xsd:complexType>
                <xsd:attribute ref="ns0:val"/>
              </xsd:complexType>
            </xsd:element>
            <xsd:element minOccurs="0" nillable="true" name="brkBinSub" form="qualified">
              <xsd:complexType>
                <xsd:attribute ref="ns0:val"/>
              </xsd:complexType>
            </xsd:element>
            <xsd:element minOccurs="0" nillable="true" name="smallFrac" form="qualified">
              <xsd:complexType>
                <xsd:attribute ref="ns0:val"/>
              </xsd:complexType>
            </xsd:element>
            <xsd:element minOccurs="0" nillable="true" type="xsd:string" name="dispDef" form="qualified"/>
            <xsd:element minOccurs="0" nillable="true" name="lMargin" form="qualified">
              <xsd:complexType>
                <xsd:attribute ref="ns0:val"/>
              </xsd:complexType>
            </xsd:element>
            <xsd:element minOccurs="0" nillable="true" name="rMargin" form="qualified">
              <xsd:complexType>
                <xsd:attribute ref="ns0:val"/>
              </xsd:complexType>
            </xsd:element>
            <xsd:element minOccurs="0" nillable="true" name="defJc" form="qualified">
              <xsd:complexType>
                <xsd:attribute ref="ns0:val"/>
              </xsd:complexType>
            </xsd:element>
            <xsd:element minOccurs="0" nillable="true" name="wrapIndent" form="qualified">
              <xsd:complexType>
                <xsd:attribute ref="ns0:val"/>
              </xsd:complexType>
            </xsd:element>
            <xsd:element minOccurs="0" nillable="true" name="intLim" form="qualified">
              <xsd:complexType>
                <xsd:attribute ref="ns0:val"/>
              </xsd:complexType>
            </xsd:element>
            <xsd:element minOccurs="0" nillable="true" name="naryLim" form="qualified">
              <xsd:complexType>
                <xsd:attribute ref="ns0:val"/>
              </xsd:complexType>
            </xsd:element>
          </xsd:sequence>
        </xsd:complexType>
      </xsd:element>
      <xsd:attribute name="val" type="xsd:string"/>
    </xsd:schema>
  </Schema>
  <Schema ID="Schema8" Namespace="http://schemas.openxmlformats.org/officeDocument/2006/extended-properties">
    <xsd:schema xmlns:xsd="http://www.w3.org/2001/XMLSchema" xmlns:ns0="http://schemas.openxmlformats.org/officeDocument/2006/extended-properties" xmlns:ns1="http://schemas.openxmlformats.org/officeDocument/2006/docPropsVTypes" xmlns="" targetNamespace="http://schemas.openxmlformats.org/officeDocument/2006/extended-properties">
      <xsd:import namespace="http://schemas.openxmlformats.org/officeDocument/2006/docPropsVTypes"/>
      <xsd:element nillable="true" name="Properties">
        <xsd:complexType>
          <xsd:sequence minOccurs="0">
            <xsd:element minOccurs="0" nillable="true" type="xsd:string" name="Template" form="qualified"/>
            <xsd:element minOccurs="0" nillable="true" type="xsd:integer" name="TotalTime" form="qualified"/>
            <xsd:element minOccurs="0" nillable="true" type="xsd:integer" name="Pages" form="qualified"/>
            <xsd:element minOccurs="0" nillable="true" type="xsd:integer" name="Words" form="qualified"/>
            <xsd:element minOccurs="0" nillable="true" type="xsd:integer" name="Characters" form="qualified"/>
            <xsd:element minOccurs="0" nillable="true" type="xsd:string" name="Application" form="qualified"/>
            <xsd:element minOccurs="0" nillable="true" type="xsd:integer" name="DocSecurity" form="qualified"/>
            <xsd:element minOccurs="0" nillable="true" type="xsd:integer" name="Lines" form="qualified"/>
            <xsd:element minOccurs="0" nillable="true" type="xsd:integer" name="Paragraphs" form="qualified"/>
            <xsd:element minOccurs="0" nillable="true" type="xsd:boolean" name="ScaleCrop" form="qualified"/>
            <xsd:element minOccurs="0" nillable="true" name="HeadingPairs" form="qualified">
              <xsd:complexType>
                <xsd:sequence minOccurs="0">
                  <xsd:element minOccurs="0" ref="ns1:vector"/>
                </xsd:sequence>
              </xsd:complexType>
            </xsd:element>
            <xsd:element minOccurs="0" nillable="true" name="TitlesOfParts" form="qualified">
              <xsd:complexType>
                <xsd:sequence minOccurs="0">
                  <xsd:element minOccurs="0" ref="ns1:vector"/>
                </xsd:sequence>
              </xsd:complexType>
            </xsd:element>
            <xsd:element minOccurs="0" nillable="true" type="xsd:string" name="Company" form="qualified"/>
            <xsd:element minOccurs="0" nillable="true" type="xsd:boolean" name="LinksUpToDate" form="qualified"/>
            <xsd:element minOccurs="0" nillable="true" type="xsd:integer" name="CharactersWithSpaces" form="qualified"/>
            <xsd:element minOccurs="0" nillable="true" type="xsd:boolean" name="SharedDoc" form="qualified"/>
            <xsd:element minOccurs="0" nillable="true" type="xsd:boolean" name="HyperlinksChanged" form="qualified"/>
            <xsd:element minOccurs="0" nillable="true" type="xsd:double" name="AppVersion" form="qualified"/>
          </xsd:sequence>
        </xsd:complexType>
      </xsd:element>
    </xsd:schema>
  </Schema>
  <Schema ID="Schema9" Namespace="http://schemas.openxmlformats.org/officeDocument/2006/docPropsVTypes">
    <xsd:schema xmlns:xsd="http://www.w3.org/2001/XMLSchema" xmlns:ns0="http://schemas.openxmlformats.org/officeDocument/2006/docPropsVTypes" xmlns="" targetNamespace="http://schemas.openxmlformats.org/officeDocument/2006/docPropsVTypes">
      <xsd:element nillable="true" name="vector">
        <xsd:complexType>
          <xsd:sequence minOccurs="0" maxOccurs="unbounded">
            <xsd:element minOccurs="0" maxOccurs="unbounded" nillable="true" name="variant" form="qualified">
              <xsd:complexType>
                <xsd:all>
                  <xsd:element minOccurs="0" nillable="true" type="xsd:string" name="lpstr" form="qualified"/>
                  <xsd:element minOccurs="0" nillable="true" type="xsd:integer" name="i4" form="qualified"/>
                </xsd:all>
              </xsd:complexType>
            </xsd:element>
            <xsd:element minOccurs="0" nillable="true" type="xsd:string" name="lpstr" form="qualified"/>
          </xsd:sequence>
          <xsd:attribute name="size" form="unqualified" type="xsd:integer"/>
          <xsd:attribute name="baseType" form="unqualified" type="xsd:string"/>
        </xsd:complexType>
      </xsd:element>
    </xsd:schema>
  </Schema>
  <Schema ID="Schema10" Namespace="http://schemas.openxmlformats.org/markup-compatibility/2006">
    <xsd:schema xmlns:xsd="http://www.w3.org/2001/XMLSchema" xmlns:ns0="http://schemas.openxmlformats.org/markup-compatibility/2006" xmlns="" targetNamespace="http://schemas.openxmlformats.org/markup-compatibility/2006">
      <xsd:attribute name="Ignorable" type="xsd:string"/>
    </xsd:schema>
  </Schema>
  <Schema ID="Schema11" Namespace="http://schemas.openxmlformats.org/drawingml/2006/main">
    <xsd:schema xmlns:xsd="http://www.w3.org/2001/XMLSchema" xmlns:ns0="http://schemas.openxmlformats.org/drawingml/2006/main" xmlns="" targetNamespace="http://schemas.openxmlformats.org/drawingml/2006/main">
      <xsd:element nillable="true" name="theme">
        <xsd:complexType>
          <xsd:sequence minOccurs="0">
            <xsd:element minOccurs="0" nillable="true" name="themeElements" form="qualified">
              <xsd:complexType>
                <xsd:sequence minOccurs="0">
                  <xsd:element minOccurs="0" nillable="true" name="clrScheme" form="qualified">
                    <xsd:complexType>
                      <xsd:sequence minOccurs="0">
                        <xsd:element minOccurs="0" nillable="true" name="dk1" form="qualified">
                          <xsd:complexType>
                            <xsd:sequence minOccurs="0">
                              <xsd:element minOccurs="0" nillable="true" name="sysClr" form="qualified">
                                <xsd:complexType>
                                  <xsd:attribute name="val" form="unqualified" type="xsd:string"/>
                                  <xsd:attribute name="lastClr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t1" form="qualified">
                          <xsd:complexType>
                            <xsd:sequence minOccurs="0">
                              <xsd:element minOccurs="0" nillable="true" name="sysClr" form="qualified">
                                <xsd:complexType>
                                  <xsd:attribute name="val" form="unqualified" type="xsd:string"/>
                                  <xsd:attribute name="lastClr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k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t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1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3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4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5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6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hlink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olHlink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fontScheme" form="qualified">
                    <xsd:complexType>
                      <xsd:sequence minOccurs="0">
                        <xsd:element minOccurs="0" nillable="true" name="majorFont" form="qualified">
                          <xsd:complexType>
                            <xsd:sequence minOccurs="0">
                              <xsd:element minOccurs="0" nillable="true" name="latin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ea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cs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maxOccurs="unbounded" nillable="true" name="font" form="qualified">
                                <xsd:complexType>
                                  <xsd:attribute name="script" form="unqualified" type="xsd:string"/>
                                  <xsd:attribute name="typefac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minorFont" form="qualified">
                          <xsd:complexType>
                            <xsd:sequence minOccurs="0">
                              <xsd:element minOccurs="0" nillable="true" name="latin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ea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cs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maxOccurs="unbounded" nillable="true" name="font" form="qualified">
                                <xsd:complexType>
                                  <xsd:attribute name="script" form="unqualified" type="xsd:string"/>
                                  <xsd:attribute name="typefac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fmtScheme" form="qualified">
                    <xsd:complexType>
                      <xsd:sequence minOccurs="0">
                        <xsd:element minOccurs="0" nillable="true" name="fillStyleLst" form="qualified">
                          <xsd:complexType>
                            <xsd:sequence minOccurs="0">
                              <xsd:element minOccurs="0" nillable="true" name="solidFill" form="qualified">
                                <xsd:complexType>
                                  <xsd:sequence minOccurs="0">
                                    <xsd:element minOccurs="0" nillable="true" name="schemeClr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gradFill" form="qualified">
                                <xsd:complexType>
                                  <xsd:sequence minOccurs="0">
                                    <xsd:element minOccurs="0" nillable="true" name="gsLst" form="qualified">
                                      <xsd:complexType>
                                        <xsd:sequence minOccurs="0">
                                          <xsd:element minOccurs="0" maxOccurs="unbounded" nillable="true" name="gs" form="qualified">
                                            <xsd:complexType>
                                              <xsd:sequence minOccurs="0">
                                                <xsd:element minOccurs="0" nillable="true" name="schemeClr" form="qualified">
                                                  <xsd:complexType>
                                                    <xsd:all>
                                                      <xsd:element minOccurs="0" nillable="true" name="tint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atMod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hade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all>
                                                    <xsd:attribute name="val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pos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lin" form="qualified">
                                      <xsd:complexType>
                                        <xsd:attribute name="ang" form="unqualified" type="xsd:integer"/>
                                        <xsd:attribute name="scaled" form="unqualified" type="xsd:integer"/>
                                      </xsd:complexType>
                                    </xsd:element>
                                  </xsd:sequence>
                                  <xsd:attribute name="rotWithShap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nStyleLst" form="qualified">
                          <xsd:complexType>
                            <xsd:sequence minOccurs="0">
                              <xsd:element minOccurs="0" maxOccurs="unbounded" nillable="true" name="ln" form="qualified">
                                <xsd:complexType>
                                  <xsd:sequence minOccurs="0">
                                    <xsd:element minOccurs="0" nillable="true" name="solidFill" form="qualified">
                                      <xsd:complexType>
                                        <xsd:sequence minOccurs="0">
                                          <xsd:element minOccurs="0" nillable="true" name="schemeClr" form="qualified">
                                            <xsd:complexType>
                                              <xsd:sequence minOccurs="0">
                                                <xsd:element minOccurs="0" nillable="true" name="shade" form="qualified">
                                                  <xsd:complexTyp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  <xsd:element minOccurs="0" nillable="true" name="satMod" form="qualified">
                                                  <xsd:complexTyp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val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rstDash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  <xsd:attribute name="w" form="unqualified" type="xsd:integer"/>
                                  <xsd:attribute name="cap" form="unqualified" type="xsd:string"/>
                                  <xsd:attribute name="cmpd" form="unqualified" type="xsd:string"/>
                                  <xsd:attribute name="algn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effectStyleLst" form="qualified">
                          <xsd:complexType>
                            <xsd:sequence minOccurs="0">
                              <xsd:element minOccurs="0" maxOccurs="unbounded" nillable="true" name="effectStyle" form="qualified">
                                <xsd:complexType>
                                  <xsd:sequence minOccurs="0">
                                    <xsd:element minOccurs="0" nillable="true" name="effectLst" form="qualified">
                                      <xsd:complexType>
                                        <xsd:sequence minOccurs="0">
                                          <xsd:element minOccurs="0" nillable="true" name="outerShdw" form="qualified">
                                            <xsd:complexType>
                                              <xsd:sequence minOccurs="0">
                                                <xsd:element minOccurs="0" nillable="true" name="srgbClr" form="qualified">
                                                  <xsd:complexType>
                                                    <xsd:sequence minOccurs="0">
                                                      <xsd:element minOccurs="0" nillable="true" name="alpha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blurRad" form="unqualified" type="xsd:integer"/>
                                              <xsd:attribute name="dist" form="unqualified" type="xsd:integer"/>
                                              <xsd:attribute name="dir" form="unqualified" type="xsd:integer"/>
                                              <xsd:attribute name="rotWithShape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cene3d" form="qualified">
                                      <xsd:complexType>
                                        <xsd:sequence minOccurs="0">
                                          <xsd:element minOccurs="0" nillable="true" name="camera" form="qualified">
                                            <xsd:complexType>
                                              <xsd:sequence minOccurs="0">
                                                <xsd:element minOccurs="0" nillable="true" name="rot" form="qualified">
                                                  <xsd:complexType>
                                                    <xsd:attribute name="lat" form="unqualified" type="xsd:integer"/>
                                                    <xsd:attribute name="lon" form="unqualified" type="xsd:integer"/>
                                                    <xsd:attribute name="rev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prst" form="unqualified" type="xsd:string"/>
                                            </xsd:complexType>
                                          </xsd:element>
                                          <xsd:element minOccurs="0" nillable="true" name="lightRig" form="qualified">
                                            <xsd:complexType>
                                              <xsd:sequence minOccurs="0">
                                                <xsd:element minOccurs="0" nillable="true" name="rot" form="qualified">
                                                  <xsd:complexType>
                                                    <xsd:attribute name="lat" form="unqualified" type="xsd:integer"/>
                                                    <xsd:attribute name="lon" form="unqualified" type="xsd:integer"/>
                                                    <xsd:attribute name="rev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rig" form="unqualified" type="xsd:string"/>
                                              <xsd:attribute name="dir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p3d" form="qualified">
                                      <xsd:complexType>
                                        <xsd:sequence minOccurs="0">
                                          <xsd:element minOccurs="0" nillable="true" name="bevelT" form="qualified">
                                            <xsd:complexType>
                                              <xsd:attribute name="w" form="unqualified" type="xsd:integer"/>
                                              <xsd:attribute name="h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gFillStyleLst" form="qualified">
                          <xsd:complexType>
                            <xsd:sequence minOccurs="0">
                              <xsd:element minOccurs="0" nillable="true" name="solidFill" form="qualified">
                                <xsd:complexType>
                                  <xsd:sequence minOccurs="0">
                                    <xsd:element minOccurs="0" nillable="true" name="schemeClr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gradFill" form="qualified">
                                <xsd:complexType>
                                  <xsd:sequence minOccurs="0">
                                    <xsd:element minOccurs="0" nillable="true" name="gsLst" form="qualified">
                                      <xsd:complexType>
                                        <xsd:sequence minOccurs="0">
                                          <xsd:element minOccurs="0" maxOccurs="unbounded" nillable="true" name="gs" form="qualified">
                                            <xsd:complexType>
                                              <xsd:sequence minOccurs="0">
                                                <xsd:element minOccurs="0" nillable="true" name="schemeClr" form="qualified">
                                                  <xsd:complexType>
                                                    <xsd:all>
                                                      <xsd:element minOccurs="0" nillable="true" name="tint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atMod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hade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all>
                                                    <xsd:attribute name="val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pos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ath" form="qualified">
                                      <xsd:complexType>
                                        <xsd:sequence minOccurs="0">
                                          <xsd:element minOccurs="0" nillable="true" name="fillToRect" form="qualified">
                                            <xsd:complexType>
                                              <xsd:attribute name="l" form="unqualified" type="xsd:integer"/>
                                              <xsd:attribute name="t" form="unqualified" type="xsd:integer"/>
                                              <xsd:attribute name="r" form="unqualified" type="xsd:integer"/>
                                              <xsd:attribute name="b" form="unqualified" type="xsd:integer"/>
                                            </xsd:complexType>
                                          </xsd:element>
                                        </xsd:sequence>
                                        <xsd:attribute name="path" form="unqualified" type="xsd:string"/>
                                      </xsd:complexType>
                                    </xsd:element>
                                  </xsd:sequence>
                                  <xsd:attribute name="rotWithShap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objectDefaults" form="qualified"/>
            <xsd:element minOccurs="0" nillable="true" type="xsd:string" name="extraClrSchemeLst" form="qualified"/>
          </xsd:sequence>
          <xsd:attribute name="name" form="unqualified" type="xsd:string"/>
        </xsd:complexType>
      </xsd:element>
    </xsd:schema>
  </Schema>
  <Schema ID="Schema12" Namespace="http://purl.org/dc/terms/">
    <xsd:schema xmlns:xsd="http://www.w3.org/2001/XMLSchema" xmlns:ns0="http://purl.org/dc/terms/" xmlns="" targetNamespace="http://purl.org/dc/terms/">
      <xsd:element nillable="true" type="xsd:dateTime" name="created"/>
      <xsd:element nillable="true" type="xsd:dateTime" name="modified"/>
    </xsd:schema>
  </Schema>
  <Schema ID="Schema13" Namespace="http://purl.org/dc/elements/1.1/">
    <xsd:schema xmlns:xsd="http://www.w3.org/2001/XMLSchema" xmlns:ns0="http://purl.org/dc/elements/1.1/" xmlns="" targetNamespace="http://purl.org/dc/elements/1.1/">
      <xsd:element nillable="true" type="xsd:string" name="creator"/>
    </xsd:schema>
  </Schema>
  <Schema ID="Schema14" SchemaRef="Schema1 Schema2 Schema3 Schema4 Schema5 Schema6 Schema7 Schema8 Schema9 Schema10 Schema11 Schema12 Schema13" Namespace="http://schemas.microsoft.com/office/2006/xmlPackage">
    <xsd:schema xmlns:xsd="http://www.w3.org/2001/XMLSchema" xmlns:ns0="http://schemas.openxmlformats.org/wordprocessingml/2006/main" xmlns:ns1="http://schemas.openxmlformats.org/package/2006/relationships" xmlns:ns2="http://schemas.openxmlformats.org/package/2006/metadata/core-properties" xmlns:ns3="http://schemas.openxmlformats.org/officeDocument/2006/extended-properties" xmlns:ns4="http://schemas.openxmlformats.org/drawingml/2006/main" xmlns:ns5="http://schemas.microsoft.com/office/2006/xmlPackage" xmlns="" targetNamespace="http://schemas.microsoft.com/office/2006/xmlPackage">
      <xsd:import namespace="http://schemas.openxmlformats.org/wordprocessingml/2006/main"/>
      <xsd:import namespace="http://schemas.openxmlformats.org/package/2006/relationships"/>
      <xsd:import namespace="http://schemas.openxmlformats.org/package/2006/metadata/core-properties"/>
      <xsd:import namespace="http://schemas.openxmlformats.org/officeDocument/2006/extended-properties"/>
      <xsd:import namespace="http://schemas.openxmlformats.org/drawingml/2006/main"/>
      <xsd:element nillable="true" name="package">
        <xsd:complexType>
          <xsd:sequence minOccurs="0">
            <xsd:element minOccurs="0" maxOccurs="unbounded" nillable="true" name="part" form="qualified">
              <xsd:complexType>
                <xsd:sequence minOccurs="0">
                  <xsd:element minOccurs="0" nillable="true" name="xmlData" form="qualified">
                    <xsd:complexType>
                      <xsd:all>
                        <xsd:element minOccurs="0" ref="ns1:Relationships"/>
                        <xsd:element minOccurs="0" ref="ns0:document"/>
                        <xsd:element minOccurs="0" ref="ns4:theme"/>
                        <xsd:element minOccurs="0" ref="ns0:settings"/>
                        <xsd:element minOccurs="0" ref="ns0:glossaryDocument"/>
                        <xsd:element minOccurs="0" ref="ns0:styles"/>
                        <xsd:element minOccurs="0" ref="ns2:coreProperties"/>
                        <xsd:element minOccurs="0" ref="ns0:webSettings"/>
                        <xsd:element minOccurs="0" ref="ns3:Properties"/>
                        <xsd:element minOccurs="0" ref="ns0:fonts"/>
                      </xsd:all>
                    </xsd:complexType>
                  </xsd:element>
                </xsd:sequence>
                <xsd:attribute ref="ns5:name"/>
                <xsd:attribute ref="ns5:contentType"/>
                <xsd:attribute ref="ns5:padding"/>
              </xsd:complexType>
            </xsd:element>
          </xsd:sequence>
        </xsd:complexType>
      </xsd:element>
      <xsd:attribute name="name" type="xsd:string"/>
      <xsd:attribute name="contentType" type="xsd:string"/>
      <xsd:attribute name="padding" type="xsd:integer"/>
    </xsd:schema>
  </Schema>
  <Map ID="1" Name="package_Map" RootElement="package" SchemaID="Schema1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Crossing Cross</a:t>
            </a:r>
            <a:r>
              <a:rPr lang="en-US" sz="1200" baseline="0">
                <a:solidFill>
                  <a:schemeClr val="tx1"/>
                </a:solidFill>
              </a:rPr>
              <a:t> Section and Stream Longitudinal Profile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672849479269499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49851292157863"/>
          <c:y val="0.12970571705403697"/>
          <c:w val="0.63529427817632245"/>
          <c:h val="0.69271701740067859"/>
        </c:manualLayout>
      </c:layout>
      <c:scatterChart>
        <c:scatterStyle val="lineMarker"/>
        <c:varyColors val="0"/>
        <c:ser>
          <c:idx val="5"/>
          <c:order val="0"/>
          <c:tx>
            <c:v>Road Profile*</c:v>
          </c:tx>
          <c:spPr>
            <a:ln w="952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Pt>
            <c:idx val="1"/>
            <c:marker>
              <c:symbol val="circle"/>
              <c:size val="4"/>
              <c:spPr>
                <a:solidFill>
                  <a:schemeClr val="bg1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47-4AF0-A134-5E53058C5AE6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FFFF00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47-4AF0-A134-5E53058C5AE6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chemeClr val="bg1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47-4AF0-A134-5E53058C5AE6}"/>
              </c:ext>
            </c:extLst>
          </c:dPt>
          <c:xVal>
            <c:numRef>
              <c:f>'Data Sheet - SUMMARY'!$B$83:$B$87</c:f>
              <c:numCache>
                <c:formatCode>General</c:formatCode>
                <c:ptCount val="5"/>
                <c:pt idx="0">
                  <c:v>29</c:v>
                </c:pt>
                <c:pt idx="1">
                  <c:v>29</c:v>
                </c:pt>
                <c:pt idx="2">
                  <c:v>51</c:v>
                </c:pt>
                <c:pt idx="3">
                  <c:v>73</c:v>
                </c:pt>
                <c:pt idx="4">
                  <c:v>73</c:v>
                </c:pt>
              </c:numCache>
            </c:numRef>
          </c:xVal>
          <c:yVal>
            <c:numRef>
              <c:f>'Data Sheet - SUMMARY'!$C$83:$C$87</c:f>
              <c:numCache>
                <c:formatCode>0.0</c:formatCode>
                <c:ptCount val="5"/>
                <c:pt idx="0" formatCode="General">
                  <c:v>-3.8099999999999996</c:v>
                </c:pt>
                <c:pt idx="1">
                  <c:v>-0.69999999999999929</c:v>
                </c:pt>
                <c:pt idx="2">
                  <c:v>0</c:v>
                </c:pt>
                <c:pt idx="3">
                  <c:v>-2.9999999999999361E-2</c:v>
                </c:pt>
                <c:pt idx="4" formatCode="General">
                  <c:v>-3.3999999999999995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8A-497F-AA82-DE4FE664545B}"/>
            </c:ext>
          </c:extLst>
        </c:ser>
        <c:ser>
          <c:idx val="7"/>
          <c:order val="1"/>
          <c:tx>
            <c:v>HWI Wrack 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SUMMARY'!$H$86:$H$87</c:f>
              <c:numCache>
                <c:formatCode>General</c:formatCode>
                <c:ptCount val="2"/>
                <c:pt idx="0">
                  <c:v>21.75</c:v>
                </c:pt>
                <c:pt idx="1">
                  <c:v>29</c:v>
                </c:pt>
              </c:numCache>
            </c:numRef>
          </c:xVal>
          <c:yVal>
            <c:numRef>
              <c:f>'Data Sheet - SUMMARY'!$J$86:$J$87</c:f>
              <c:numCache>
                <c:formatCode>General</c:formatCode>
                <c:ptCount val="2"/>
                <c:pt idx="0">
                  <c:v>-0.9399999999999995</c:v>
                </c:pt>
                <c:pt idx="1">
                  <c:v>-0.9399999999999995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47-4AF0-A134-5E53058C5AE6}"/>
            </c:ext>
          </c:extLst>
        </c:ser>
        <c:ser>
          <c:idx val="6"/>
          <c:order val="2"/>
          <c:tx>
            <c:v>HWI Stain</c:v>
          </c:tx>
          <c:spPr>
            <a:ln w="12700" cap="rnd">
              <a:solidFill>
                <a:srgbClr val="00FFFF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SUMMARY'!$D$86:$D$87</c:f>
              <c:numCache>
                <c:formatCode>General</c:formatCode>
                <c:ptCount val="2"/>
                <c:pt idx="0">
                  <c:v>14.5</c:v>
                </c:pt>
                <c:pt idx="1">
                  <c:v>21.75</c:v>
                </c:pt>
              </c:numCache>
            </c:numRef>
          </c:xVal>
          <c:yVal>
            <c:numRef>
              <c:f>'Data Sheet - SUMMARY'!$F$86:$F$87</c:f>
              <c:numCache>
                <c:formatCode>General</c:formatCode>
                <c:ptCount val="2"/>
                <c:pt idx="0">
                  <c:v>-2.9099999999999993</c:v>
                </c:pt>
                <c:pt idx="1">
                  <c:v>-2.9099999999999993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47-4AF0-A134-5E53058C5AE6}"/>
            </c:ext>
          </c:extLst>
        </c:ser>
        <c:ser>
          <c:idx val="8"/>
          <c:order val="3"/>
          <c:tx>
            <c:v>Avg. Marsh Plain</c:v>
          </c:tx>
          <c:spPr>
            <a:ln w="12700" cap="rnd">
              <a:solidFill>
                <a:srgbClr val="66FF3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SUMMARY'!$L$86:$L$87</c:f>
              <c:numCache>
                <c:formatCode>General</c:formatCode>
                <c:ptCount val="2"/>
                <c:pt idx="0">
                  <c:v>7.25</c:v>
                </c:pt>
                <c:pt idx="1">
                  <c:v>14.5</c:v>
                </c:pt>
              </c:numCache>
            </c:numRef>
          </c:xVal>
          <c:yVal>
            <c:numRef>
              <c:f>'Data Sheet - SUMMARY'!$N$86:$N$87</c:f>
              <c:numCache>
                <c:formatCode>General</c:formatCode>
                <c:ptCount val="2"/>
                <c:pt idx="0">
                  <c:v>-3.7050000000000001</c:v>
                </c:pt>
                <c:pt idx="1">
                  <c:v>-3.7050000000000001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47-4AF0-A134-5E53058C5AE6}"/>
            </c:ext>
          </c:extLst>
        </c:ser>
        <c:ser>
          <c:idx val="9"/>
          <c:order val="4"/>
          <c:tx>
            <c:v>Low Tide</c:v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SUMMARY'!$P$86:$P$87</c:f>
              <c:numCache>
                <c:formatCode>General</c:formatCode>
                <c:ptCount val="2"/>
                <c:pt idx="0">
                  <c:v>7.25</c:v>
                </c:pt>
                <c:pt idx="1">
                  <c:v>29</c:v>
                </c:pt>
              </c:numCache>
            </c:numRef>
          </c:xVal>
          <c:yVal>
            <c:numRef>
              <c:f>'Data Sheet - SUMMARY'!$R$86:$R$87</c:f>
              <c:numCache>
                <c:formatCode>General</c:formatCode>
                <c:ptCount val="2"/>
                <c:pt idx="0">
                  <c:v>-4.28</c:v>
                </c:pt>
                <c:pt idx="1">
                  <c:v>-4.28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47-4AF0-A134-5E53058C5AE6}"/>
            </c:ext>
          </c:extLst>
        </c:ser>
        <c:ser>
          <c:idx val="0"/>
          <c:order val="5"/>
          <c:tx>
            <c:v>Stream Profile</c:v>
          </c:tx>
          <c:spPr>
            <a:ln w="9525" cap="rnd">
              <a:solidFill>
                <a:schemeClr val="tx2">
                  <a:lumMod val="7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tx2">
                  <a:lumMod val="75000"/>
                </a:schemeClr>
              </a:solidFill>
              <a:ln w="3175">
                <a:solidFill>
                  <a:schemeClr val="tx2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'Data Sheet - SUMMARY'!$U$62:$U$71</c:f>
              <c:numCache>
                <c:formatCode>General</c:formatCode>
                <c:ptCount val="10"/>
                <c:pt idx="0">
                  <c:v>0</c:v>
                </c:pt>
                <c:pt idx="1">
                  <c:v>15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73</c:v>
                </c:pt>
                <c:pt idx="6">
                  <c:v>75</c:v>
                </c:pt>
                <c:pt idx="7">
                  <c:v>77</c:v>
                </c:pt>
                <c:pt idx="8">
                  <c:v>83</c:v>
                </c:pt>
                <c:pt idx="9">
                  <c:v>115</c:v>
                </c:pt>
              </c:numCache>
            </c:numRef>
          </c:xVal>
          <c:yVal>
            <c:numRef>
              <c:f>'Data Sheet - SUMMARY'!$X$62:$X$71</c:f>
              <c:numCache>
                <c:formatCode>General</c:formatCode>
                <c:ptCount val="10"/>
                <c:pt idx="0">
                  <c:v>-5.0999999999999988</c:v>
                </c:pt>
                <c:pt idx="1">
                  <c:v>-4.28</c:v>
                </c:pt>
                <c:pt idx="2">
                  <c:v>-4.88</c:v>
                </c:pt>
                <c:pt idx="3">
                  <c:v>-4.88</c:v>
                </c:pt>
                <c:pt idx="4">
                  <c:v>-4.9099999999999993</c:v>
                </c:pt>
                <c:pt idx="5">
                  <c:v>-5.46</c:v>
                </c:pt>
                <c:pt idx="6">
                  <c:v>-5.45</c:v>
                </c:pt>
                <c:pt idx="7">
                  <c:v>-5.5699999999999994</c:v>
                </c:pt>
                <c:pt idx="8">
                  <c:v>-4.46</c:v>
                </c:pt>
                <c:pt idx="9">
                  <c:v>-5.2299999999999995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47-4AF0-A134-5E53058C5AE6}"/>
            </c:ext>
          </c:extLst>
        </c:ser>
        <c:ser>
          <c:idx val="1"/>
          <c:order val="6"/>
          <c:tx>
            <c:v>DS Stain</c:v>
          </c:tx>
          <c:spPr>
            <a:ln w="12700" cap="rnd">
              <a:solidFill>
                <a:srgbClr val="00FFFF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SUMMARY'!$T$86:$T$87</c:f>
              <c:numCache>
                <c:formatCode>General</c:formatCode>
                <c:ptCount val="2"/>
                <c:pt idx="0">
                  <c:v>80.25</c:v>
                </c:pt>
                <c:pt idx="1">
                  <c:v>87.5</c:v>
                </c:pt>
              </c:numCache>
            </c:numRef>
          </c:xVal>
          <c:yVal>
            <c:numRef>
              <c:f>'Data Sheet - SUMMARY'!$V$86:$V$87</c:f>
              <c:numCache>
                <c:formatCode>General</c:formatCode>
                <c:ptCount val="2"/>
                <c:pt idx="0">
                  <c:v>-3.5999999999999988</c:v>
                </c:pt>
                <c:pt idx="1">
                  <c:v>-3.5999999999999988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47-4AF0-A134-5E53058C5AE6}"/>
            </c:ext>
          </c:extLst>
        </c:ser>
        <c:ser>
          <c:idx val="2"/>
          <c:order val="7"/>
          <c:tx>
            <c:v>DS Wrack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SUMMARY'!$X$86:$X$87</c:f>
              <c:numCache>
                <c:formatCode>General</c:formatCode>
                <c:ptCount val="2"/>
                <c:pt idx="0">
                  <c:v>73</c:v>
                </c:pt>
                <c:pt idx="1">
                  <c:v>80.25</c:v>
                </c:pt>
              </c:numCache>
            </c:numRef>
          </c:xVal>
          <c:yVal>
            <c:numRef>
              <c:f>'Data Sheet - SUMMARY'!$Z$86:$Z$87</c:f>
              <c:numCache>
                <c:formatCode>General</c:formatCode>
                <c:ptCount val="2"/>
                <c:pt idx="0">
                  <c:v>-1.1499999999999995</c:v>
                </c:pt>
                <c:pt idx="1">
                  <c:v>-1.1499999999999995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47-4AF0-A134-5E53058C5AE6}"/>
            </c:ext>
          </c:extLst>
        </c:ser>
        <c:ser>
          <c:idx val="3"/>
          <c:order val="8"/>
          <c:tx>
            <c:v>DS Avg. Marsh Plain</c:v>
          </c:tx>
          <c:spPr>
            <a:ln w="12700" cap="rnd">
              <a:solidFill>
                <a:srgbClr val="66FF3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SUMMARY'!$AB$86:$AB$87</c:f>
              <c:numCache>
                <c:formatCode>General</c:formatCode>
                <c:ptCount val="2"/>
                <c:pt idx="0">
                  <c:v>87.5</c:v>
                </c:pt>
                <c:pt idx="1">
                  <c:v>94.75</c:v>
                </c:pt>
              </c:numCache>
            </c:numRef>
          </c:xVal>
          <c:yVal>
            <c:numRef>
              <c:f>'Data Sheet - SUMMARY'!$AD$86:$AD$87</c:f>
              <c:numCache>
                <c:formatCode>General</c:formatCode>
                <c:ptCount val="2"/>
                <c:pt idx="0">
                  <c:v>-3.92</c:v>
                </c:pt>
                <c:pt idx="1">
                  <c:v>-3.92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47-4AF0-A134-5E53058C5AE6}"/>
            </c:ext>
          </c:extLst>
        </c:ser>
        <c:ser>
          <c:idx val="4"/>
          <c:order val="9"/>
          <c:tx>
            <c:v>DS Low Water</c:v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SUMMARY'!$AF$86:$AF$87</c:f>
              <c:numCache>
                <c:formatCode>General</c:formatCode>
                <c:ptCount val="2"/>
                <c:pt idx="0">
                  <c:v>73</c:v>
                </c:pt>
                <c:pt idx="1">
                  <c:v>94.75</c:v>
                </c:pt>
              </c:numCache>
            </c:numRef>
          </c:xVal>
          <c:yVal>
            <c:numRef>
              <c:f>'Data Sheet - SUMMARY'!$AH$86:$AH$87</c:f>
              <c:numCache>
                <c:formatCode>General</c:formatCode>
                <c:ptCount val="2"/>
                <c:pt idx="0">
                  <c:v>-4.2599999999999989</c:v>
                </c:pt>
                <c:pt idx="1">
                  <c:v>-4.2599999999999989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47-4AF0-A134-5E53058C5AE6}"/>
            </c:ext>
          </c:extLst>
        </c:ser>
        <c:ser>
          <c:idx val="10"/>
          <c:order val="10"/>
          <c:tx>
            <c:v>Ceiling</c:v>
          </c:tx>
          <c:spPr>
            <a:ln w="952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SUMMARY'!$G$81:$G$82</c:f>
              <c:numCache>
                <c:formatCode>General</c:formatCode>
                <c:ptCount val="2"/>
                <c:pt idx="0">
                  <c:v>29</c:v>
                </c:pt>
                <c:pt idx="1">
                  <c:v>73</c:v>
                </c:pt>
              </c:numCache>
            </c:numRef>
          </c:xVal>
          <c:yVal>
            <c:numRef>
              <c:f>'Data Sheet - SUMMARY'!$H$81:$H$82</c:f>
              <c:numCache>
                <c:formatCode>General</c:formatCode>
                <c:ptCount val="2"/>
                <c:pt idx="0">
                  <c:v>-3.8099999999999996</c:v>
                </c:pt>
                <c:pt idx="1">
                  <c:v>-3.3999999999999995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E47-4AF0-A134-5E53058C5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438432"/>
        <c:axId val="356436792"/>
        <c:extLst/>
      </c:scatterChart>
      <c:valAx>
        <c:axId val="35643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from Upstream Hydraulic Control (feet)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6792"/>
        <c:crosses val="autoZero"/>
        <c:crossBetween val="midCat"/>
      </c:valAx>
      <c:valAx>
        <c:axId val="35643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Height (NAVD 88 feet)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0.74292959032751038"/>
          <c:y val="0.13042402218132468"/>
          <c:w val="0.24301796524419519"/>
          <c:h val="0.536539233439970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List" dx="20" fmlaLink="$F$184" fmlaRange="Lookups!$B$5:$B$8" noThreeD="1" sel="1" val="0"/>
</file>

<file path=xl/ctrlProps/ctrlProp2.xml><?xml version="1.0" encoding="utf-8"?>
<formControlPr xmlns="http://schemas.microsoft.com/office/spreadsheetml/2009/9/main" objectType="List" dx="20" fmlaLink="$F$182" fmlaRange="Lookups!$B$5:$B$8" noThreeD="1" sel="1" val="0"/>
</file>

<file path=xl/ctrlProps/ctrlProp3.xml><?xml version="1.0" encoding="utf-8"?>
<formControlPr xmlns="http://schemas.microsoft.com/office/spreadsheetml/2009/9/main" objectType="List" dx="20" fmlaLink="$P$182" fmlaRange="Lookups!$B$12:$B$17" noThreeD="1" sel="1" val="0"/>
</file>

<file path=xl/ctrlProps/ctrlProp4.xml><?xml version="1.0" encoding="utf-8"?>
<formControlPr xmlns="http://schemas.microsoft.com/office/spreadsheetml/2009/9/main" objectType="List" dx="20" fmlaLink="$P$184" fmlaRange="Lookups!$B$12:$B$17" noThreeD="1" sel="1" val="0"/>
</file>

<file path=xl/ctrlProps/ctrlProp5.xml><?xml version="1.0" encoding="utf-8"?>
<formControlPr xmlns="http://schemas.microsoft.com/office/spreadsheetml/2009/9/main" objectType="List" dx="20" fmlaLink="$P$147" fmlaRange="Lookups!$B$33:$B$38" noThreeD="1" sel="1" val="0"/>
</file>

<file path=xl/ctrlProps/ctrlProp6.xml><?xml version="1.0" encoding="utf-8"?>
<formControlPr xmlns="http://schemas.microsoft.com/office/spreadsheetml/2009/9/main" objectType="CheckBox" fmlaLink="$J$228" lockText="1" noThreeD="1"/>
</file>

<file path=xl/ctrlProps/ctrlProp7.xml><?xml version="1.0" encoding="utf-8"?>
<formControlPr xmlns="http://schemas.microsoft.com/office/spreadsheetml/2009/9/main" objectType="CheckBox" fmlaLink="$M$228" lockText="1" noThreeD="1"/>
</file>

<file path=xl/ctrlProps/ctrlProp8.xml><?xml version="1.0" encoding="utf-8"?>
<formControlPr xmlns="http://schemas.microsoft.com/office/spreadsheetml/2009/9/main" objectType="CheckBox" fmlaLink="$Q$228" lockText="1" noThreeD="1"/>
</file>

<file path=xl/ctrlProps/ctrlProp9.xml><?xml version="1.0" encoding="utf-8"?>
<formControlPr xmlns="http://schemas.microsoft.com/office/spreadsheetml/2009/9/main" objectType="CheckBox" fmlaLink="$T$228" lockText="1" noThreeD="1"/>
</file>

<file path=xl/ctrlProps/ctrlProp10.xml><?xml version="1.0" encoding="utf-8"?>
<formControlPr xmlns="http://schemas.microsoft.com/office/spreadsheetml/2009/9/main" objectType="List" dx="20" fmlaLink="$P$146" fmlaRange="Lookups!$B$20:$B$30" noThreeD="1" sel="1" val="0"/>
</file>

<file path=xl/ctrlProps/ctrlProp11.xml><?xml version="1.0" encoding="utf-8"?>
<formControlPr xmlns="http://schemas.microsoft.com/office/spreadsheetml/2009/9/main" objectType="List" dx="20" fmlaLink="$F$147" fmlaRange="Lookups!$B$33:$B$38" noThreeD="1" sel="1" val="0"/>
</file>

<file path=xl/ctrlProps/ctrlProp12.xml><?xml version="1.0" encoding="utf-8"?>
<formControlPr xmlns="http://schemas.microsoft.com/office/spreadsheetml/2009/9/main" objectType="List" dx="20" fmlaLink="$F$146" fmlaRange="Lookups!$B$20:$B$30" noThreeD="1" sel="1" val="0"/>
</file>

<file path=xl/ctrlProps/ctrlProp13.xml><?xml version="1.0" encoding="utf-8"?>
<formControlPr xmlns="http://schemas.microsoft.com/office/spreadsheetml/2009/9/main" objectType="CheckBox" fmlaLink="$Q$263" lockText="1" noThreeD="1"/>
</file>

<file path=xl/ctrlProps/ctrlProp14.xml><?xml version="1.0" encoding="utf-8"?>
<formControlPr xmlns="http://schemas.microsoft.com/office/spreadsheetml/2009/9/main" objectType="CheckBox" fmlaLink="$Q$266" lockText="1" noThreeD="1"/>
</file>

<file path=xl/ctrlProps/ctrlProp15.xml><?xml version="1.0" encoding="utf-8"?>
<formControlPr xmlns="http://schemas.microsoft.com/office/spreadsheetml/2009/9/main" objectType="CheckBox" fmlaLink="$T$263" lockText="1" noThreeD="1"/>
</file>

<file path=xl/ctrlProps/ctrlProp16.xml><?xml version="1.0" encoding="utf-8"?>
<formControlPr xmlns="http://schemas.microsoft.com/office/spreadsheetml/2009/9/main" objectType="CheckBox" fmlaLink="$T$266" lockText="1" noThreeD="1"/>
</file>

<file path=xl/ctrlProps/ctrlProp17.xml><?xml version="1.0" encoding="utf-8"?>
<formControlPr xmlns="http://schemas.microsoft.com/office/spreadsheetml/2009/9/main" objectType="List" dx="20" fmlaLink="$A$49" fmlaRange="Lookups!$B$48:$B$61" noThreeD="1" sel="1" val="0"/>
</file>

<file path=xl/ctrlProps/ctrlProp18.xml><?xml version="1.0" encoding="utf-8"?>
<formControlPr xmlns="http://schemas.microsoft.com/office/spreadsheetml/2009/9/main" objectType="List" dx="20" fmlaLink="$K$50" fmlaRange="Lookups!$B$65:$B$74" noThreeD="1" sel="1" val="0"/>
</file>

<file path=xl/ctrlProps/ctrlProp19.xml><?xml version="1.0" encoding="utf-8"?>
<formControlPr xmlns="http://schemas.microsoft.com/office/spreadsheetml/2009/9/main" objectType="List" dx="20" fmlaLink="$B$61" fmlaRange="Lookups!$B$86:$B$94" noThreeD="1" sel="1" val="0"/>
</file>

<file path=xl/ctrlProps/ctrlProp20.xml><?xml version="1.0" encoding="utf-8"?>
<formControlPr xmlns="http://schemas.microsoft.com/office/spreadsheetml/2009/9/main" objectType="List" dx="20" fmlaLink="$I$62" fmlaRange="Lookups!$B$97:$B$101" noThreeD="1" sel="1" val="0"/>
</file>

<file path=xl/ctrlProps/ctrlProp21.xml><?xml version="1.0" encoding="utf-8"?>
<formControlPr xmlns="http://schemas.microsoft.com/office/spreadsheetml/2009/9/main" objectType="List" dx="20" fmlaLink="$Y$61" fmlaRange="Lookups!$B$104:$B$111" multiSel="1" noThreeD="1" sel="1" seltype="multi" val="0"/>
</file>

<file path=xl/ctrlProps/ctrlProp22.xml><?xml version="1.0" encoding="utf-8"?>
<formControlPr xmlns="http://schemas.microsoft.com/office/spreadsheetml/2009/9/main" objectType="List" dx="20" fmlaLink="$A$78" fmlaRange="Lookups!$B$114:$B$120" noThreeD="1" sel="1" val="0"/>
</file>

<file path=xl/ctrlProps/ctrlProp23.xml><?xml version="1.0" encoding="utf-8"?>
<formControlPr xmlns="http://schemas.microsoft.com/office/spreadsheetml/2009/9/main" objectType="List" dx="20" fmlaLink="$F$78" fmlaRange="Lookups!$B$123:$B$127" noThreeD="1" sel="1" val="0"/>
</file>

<file path=xl/ctrlProps/ctrlProp24.xml><?xml version="1.0" encoding="utf-8"?>
<formControlPr xmlns="http://schemas.microsoft.com/office/spreadsheetml/2009/9/main" objectType="List" dx="20" fmlaLink="$AD$62" fmlaRange="Lookups!$B$123:$B$127" noThreeD="1" sel="1" val="0"/>
</file>

<file path=xl/ctrlProps/ctrlProp25.xml><?xml version="1.0" encoding="utf-8"?>
<formControlPr xmlns="http://schemas.microsoft.com/office/spreadsheetml/2009/9/main" objectType="List" dx="20" fmlaLink="$N$61" fmlaRange="Lookups!$B$86:$B$94" noThreeD="1" sel="1" val="0"/>
</file>

<file path=xl/ctrlProps/ctrlProp26.xml><?xml version="1.0" encoding="utf-8"?>
<formControlPr xmlns="http://schemas.microsoft.com/office/spreadsheetml/2009/9/main" objectType="List" dx="20" fmlaLink="$F$86" fmlaRange="Lookups!$B$42:$B$45" noThreeD="1" sel="1" val="0"/>
</file>

<file path=xl/ctrlProps/ctrlProp27.xml><?xml version="1.0" encoding="utf-8"?>
<formControlPr xmlns="http://schemas.microsoft.com/office/spreadsheetml/2009/9/main" objectType="List" dx="20" fmlaLink="$A$86" fmlaRange="Lookups!$B$42:$B$45" noThreeD="1" sel="1" val="0"/>
</file>

<file path=xl/ctrlProps/ctrlProp28.xml><?xml version="1.0" encoding="utf-8"?>
<formControlPr xmlns="http://schemas.microsoft.com/office/spreadsheetml/2009/9/main" objectType="List" dx="20" fmlaLink="$U$62" fmlaRange="Lookups!$B$97:$B$101" noThreeD="1" sel="1" val="0"/>
</file>

<file path=xl/ctrlProps/ctrlProp29.xml><?xml version="1.0" encoding="utf-8"?>
<formControlPr xmlns="http://schemas.microsoft.com/office/spreadsheetml/2009/9/main" objectType="List" dx="20" fmlaLink="$B$69" fmlaRange="Lookups!$B$86:$B$94" noThreeD="1" sel="2" val="0"/>
</file>

<file path=xl/ctrlProps/ctrlProp30.xml><?xml version="1.0" encoding="utf-8"?>
<formControlPr xmlns="http://schemas.microsoft.com/office/spreadsheetml/2009/9/main" objectType="List" dx="20" fmlaLink="$I$70" fmlaRange="Lookups!$B$97:$B$101" noThreeD="1" sel="1" val="0"/>
</file>

<file path=xl/ctrlProps/ctrlProp31.xml><?xml version="1.0" encoding="utf-8"?>
<formControlPr xmlns="http://schemas.microsoft.com/office/spreadsheetml/2009/9/main" objectType="List" dx="20" fmlaLink="$Y$69" fmlaRange="Lookups!$B$104:$B$111" multiSel="1" noThreeD="1" sel="1" seltype="multi" val="0"/>
</file>

<file path=xl/ctrlProps/ctrlProp32.xml><?xml version="1.0" encoding="utf-8"?>
<formControlPr xmlns="http://schemas.microsoft.com/office/spreadsheetml/2009/9/main" objectType="List" dx="20" fmlaLink="$AD$70" fmlaRange="Lookups!$B$123:$B$127" noThreeD="1" sel="1" val="0"/>
</file>

<file path=xl/ctrlProps/ctrlProp33.xml><?xml version="1.0" encoding="utf-8"?>
<formControlPr xmlns="http://schemas.microsoft.com/office/spreadsheetml/2009/9/main" objectType="List" dx="20" fmlaLink="$N$69" fmlaRange="Lookups!$B$86:$B$94" noThreeD="1" sel="1" val="0"/>
</file>

<file path=xl/ctrlProps/ctrlProp34.xml><?xml version="1.0" encoding="utf-8"?>
<formControlPr xmlns="http://schemas.microsoft.com/office/spreadsheetml/2009/9/main" objectType="List" dx="20" fmlaLink="$U$70" fmlaRange="Lookups!$B$97:$B$101" noThreeD="1" sel="1" val="0"/>
</file>

<file path=xl/ctrlProps/ctrlProp35.xml><?xml version="1.0" encoding="utf-8"?>
<formControlPr xmlns="http://schemas.microsoft.com/office/spreadsheetml/2009/9/main" objectType="CheckBox" fmlaLink="$I$163" lockText="1" noThreeD="1"/>
</file>

<file path=xl/ctrlProps/ctrlProp36.xml><?xml version="1.0" encoding="utf-8"?>
<formControlPr xmlns="http://schemas.microsoft.com/office/spreadsheetml/2009/9/main" objectType="CheckBox" fmlaLink="$P$163" lockText="1" noThreeD="1"/>
</file>

<file path=xl/ctrlProps/ctrlProp37.xml><?xml version="1.0" encoding="utf-8"?>
<formControlPr xmlns="http://schemas.microsoft.com/office/spreadsheetml/2009/9/main" objectType="CheckBox" fmlaLink="$W$163" lockText="1" noThreeD="1"/>
</file>

<file path=xl/ctrlProps/ctrlProp38.xml><?xml version="1.0" encoding="utf-8"?>
<formControlPr xmlns="http://schemas.microsoft.com/office/spreadsheetml/2009/9/main" objectType="CheckBox" fmlaLink="$I$164" lockText="1" noThreeD="1"/>
</file>

<file path=xl/ctrlProps/ctrlProp39.xml><?xml version="1.0" encoding="utf-8"?>
<formControlPr xmlns="http://schemas.microsoft.com/office/spreadsheetml/2009/9/main" objectType="CheckBox" fmlaLink="$P$164" lockText="1" noThreeD="1"/>
</file>

<file path=xl/ctrlProps/ctrlProp40.xml><?xml version="1.0" encoding="utf-8"?>
<formControlPr xmlns="http://schemas.microsoft.com/office/spreadsheetml/2009/9/main" objectType="CheckBox" fmlaLink="$W$164" lockText="1" noThreeD="1"/>
</file>

<file path=xl/ctrlProps/ctrlProp41.xml><?xml version="1.0" encoding="utf-8"?>
<formControlPr xmlns="http://schemas.microsoft.com/office/spreadsheetml/2009/9/main" objectType="CheckBox" fmlaLink="$I$168" lockText="1" noThreeD="1"/>
</file>

<file path=xl/ctrlProps/ctrlProp42.xml><?xml version="1.0" encoding="utf-8"?>
<formControlPr xmlns="http://schemas.microsoft.com/office/spreadsheetml/2009/9/main" objectType="CheckBox" fmlaLink="$P$168" lockText="1" noThreeD="1"/>
</file>

<file path=xl/ctrlProps/ctrlProp43.xml><?xml version="1.0" encoding="utf-8"?>
<formControlPr xmlns="http://schemas.microsoft.com/office/spreadsheetml/2009/9/main" objectType="CheckBox" fmlaLink="$W$168" lockText="1" noThreeD="1"/>
</file>

<file path=xl/ctrlProps/ctrlProp44.xml><?xml version="1.0" encoding="utf-8"?>
<formControlPr xmlns="http://schemas.microsoft.com/office/spreadsheetml/2009/9/main" objectType="List" dx="20" fmlaLink="$F$185" fmlaRange="Lookups!$B$5:$B$8" noThreeD="1" sel="2" val="0"/>
</file>

<file path=xl/ctrlProps/ctrlProp45.xml><?xml version="1.0" encoding="utf-8"?>
<formControlPr xmlns="http://schemas.microsoft.com/office/spreadsheetml/2009/9/main" objectType="List" dx="20" fmlaLink="$F$183" fmlaRange="Lookups!$B$5:$B$8" noThreeD="1" sel="3" val="0"/>
</file>

<file path=xl/ctrlProps/ctrlProp46.xml><?xml version="1.0" encoding="utf-8"?>
<formControlPr xmlns="http://schemas.microsoft.com/office/spreadsheetml/2009/9/main" objectType="List" dx="20" fmlaLink="$P$183" fmlaRange="Lookups!$B$12:$B$17" noThreeD="1" sel="1" val="0"/>
</file>

<file path=xl/ctrlProps/ctrlProp47.xml><?xml version="1.0" encoding="utf-8"?>
<formControlPr xmlns="http://schemas.microsoft.com/office/spreadsheetml/2009/9/main" objectType="List" dx="20" fmlaLink="$P$185" fmlaRange="Lookups!$B$12:$B$17" noThreeD="1" sel="1" val="0"/>
</file>

<file path=xl/ctrlProps/ctrlProp48.xml><?xml version="1.0" encoding="utf-8"?>
<formControlPr xmlns="http://schemas.microsoft.com/office/spreadsheetml/2009/9/main" objectType="List" dx="20" fmlaLink="$P$148" fmlaRange="Lookups!$B$33:$B$38" noThreeD="1" sel="2" val="0"/>
</file>

<file path=xl/ctrlProps/ctrlProp49.xml><?xml version="1.0" encoding="utf-8"?>
<formControlPr xmlns="http://schemas.microsoft.com/office/spreadsheetml/2009/9/main" objectType="CheckBox" fmlaLink="$J$229" lockText="1" noThreeD="1"/>
</file>

<file path=xl/ctrlProps/ctrlProp50.xml><?xml version="1.0" encoding="utf-8"?>
<formControlPr xmlns="http://schemas.microsoft.com/office/spreadsheetml/2009/9/main" objectType="CheckBox" fmlaLink="$M$229" lockText="1" noThreeD="1"/>
</file>

<file path=xl/ctrlProps/ctrlProp51.xml><?xml version="1.0" encoding="utf-8"?>
<formControlPr xmlns="http://schemas.microsoft.com/office/spreadsheetml/2009/9/main" objectType="CheckBox" fmlaLink="$Q$229" lockText="1" noThreeD="1"/>
</file>

<file path=xl/ctrlProps/ctrlProp52.xml><?xml version="1.0" encoding="utf-8"?>
<formControlPr xmlns="http://schemas.microsoft.com/office/spreadsheetml/2009/9/main" objectType="CheckBox" fmlaLink="$T$229" lockText="1" noThreeD="1"/>
</file>

<file path=xl/ctrlProps/ctrlProp53.xml><?xml version="1.0" encoding="utf-8"?>
<formControlPr xmlns="http://schemas.microsoft.com/office/spreadsheetml/2009/9/main" objectType="List" dx="20" fmlaLink="$P$147" fmlaRange="Lookups!$B$20:$B$30" noThreeD="1" sel="3" val="0"/>
</file>

<file path=xl/ctrlProps/ctrlProp54.xml><?xml version="1.0" encoding="utf-8"?>
<formControlPr xmlns="http://schemas.microsoft.com/office/spreadsheetml/2009/9/main" objectType="List" dx="20" fmlaLink="$F$148" fmlaRange="Lookups!$B$33:$B$38" noThreeD="1" sel="2" val="0"/>
</file>

<file path=xl/ctrlProps/ctrlProp55.xml><?xml version="1.0" encoding="utf-8"?>
<formControlPr xmlns="http://schemas.microsoft.com/office/spreadsheetml/2009/9/main" objectType="List" dx="20" fmlaLink="$F$147" fmlaRange="Lookups!$B$20:$B$30" noThreeD="1" sel="3" val="0"/>
</file>

<file path=xl/ctrlProps/ctrlProp56.xml><?xml version="1.0" encoding="utf-8"?>
<formControlPr xmlns="http://schemas.microsoft.com/office/spreadsheetml/2009/9/main" objectType="CheckBox" fmlaLink="$Q$264" lockText="1" noThreeD="1"/>
</file>

<file path=xl/ctrlProps/ctrlProp57.xml><?xml version="1.0" encoding="utf-8"?>
<formControlPr xmlns="http://schemas.microsoft.com/office/spreadsheetml/2009/9/main" objectType="CheckBox" fmlaLink="$Q$267" lockText="1" noThreeD="1"/>
</file>

<file path=xl/ctrlProps/ctrlProp58.xml><?xml version="1.0" encoding="utf-8"?>
<formControlPr xmlns="http://schemas.microsoft.com/office/spreadsheetml/2009/9/main" objectType="CheckBox" fmlaLink="$T$264" lockText="1" noThreeD="1"/>
</file>

<file path=xl/ctrlProps/ctrlProp59.xml><?xml version="1.0" encoding="utf-8"?>
<formControlPr xmlns="http://schemas.microsoft.com/office/spreadsheetml/2009/9/main" objectType="CheckBox" fmlaLink="$T$267" lockText="1" noThreeD="1"/>
</file>

<file path=xl/ctrlProps/ctrlProp60.xml><?xml version="1.0" encoding="utf-8"?>
<formControlPr xmlns="http://schemas.microsoft.com/office/spreadsheetml/2009/9/main" objectType="List" dx="20" fmlaLink="$A$49" fmlaRange="Lookups!$B$48:$B$61" noThreeD="1" sel="5" val="0"/>
</file>

<file path=xl/ctrlProps/ctrlProp61.xml><?xml version="1.0" encoding="utf-8"?>
<formControlPr xmlns="http://schemas.microsoft.com/office/spreadsheetml/2009/9/main" objectType="List" dx="20" fmlaLink="$K$50" fmlaRange="Lookups!$B$65:$B$74" noThreeD="1" sel="7" val="0"/>
</file>

<file path=xl/ctrlProps/ctrlProp62.xml><?xml version="1.0" encoding="utf-8"?>
<formControlPr xmlns="http://schemas.microsoft.com/office/spreadsheetml/2009/9/main" objectType="List" dx="20" fmlaLink="$B$61" fmlaRange="Lookups!$B$86:$B$94" noThreeD="1" sel="7" val="0"/>
</file>

<file path=xl/ctrlProps/ctrlProp63.xml><?xml version="1.0" encoding="utf-8"?>
<formControlPr xmlns="http://schemas.microsoft.com/office/spreadsheetml/2009/9/main" objectType="List" dx="20" fmlaLink="$I$62" fmlaRange="Lookups!$B$97:$B$101" noThreeD="1" sel="2" val="0"/>
</file>

<file path=xl/ctrlProps/ctrlProp64.xml><?xml version="1.0" encoding="utf-8"?>
<formControlPr xmlns="http://schemas.microsoft.com/office/spreadsheetml/2009/9/main" objectType="List" dx="20" fmlaLink="$Y$61" fmlaRange="Lookups!$B$104:$B$111" multiSel="2, 1" noThreeD="1" sel="0" seltype="multi" val="0"/>
</file>

<file path=xl/ctrlProps/ctrlProp65.xml><?xml version="1.0" encoding="utf-8"?>
<formControlPr xmlns="http://schemas.microsoft.com/office/spreadsheetml/2009/9/main" objectType="List" dx="20" fmlaLink="$A$78" fmlaRange="Lookups!$B$114:$B$120" noThreeD="1" sel="2" val="0"/>
</file>

<file path=xl/ctrlProps/ctrlProp66.xml><?xml version="1.0" encoding="utf-8"?>
<formControlPr xmlns="http://schemas.microsoft.com/office/spreadsheetml/2009/9/main" objectType="List" dx="20" fmlaLink="$F$78" fmlaRange="Lookups!$B$123:$B$127" noThreeD="1" sel="2" val="0"/>
</file>

<file path=xl/ctrlProps/ctrlProp67.xml><?xml version="1.0" encoding="utf-8"?>
<formControlPr xmlns="http://schemas.microsoft.com/office/spreadsheetml/2009/9/main" objectType="List" dx="20" fmlaLink="$AD$62" fmlaRange="Lookups!$B$123:$B$127" noThreeD="1" sel="2" val="0"/>
</file>

<file path=xl/ctrlProps/ctrlProp68.xml><?xml version="1.0" encoding="utf-8"?>
<formControlPr xmlns="http://schemas.microsoft.com/office/spreadsheetml/2009/9/main" objectType="List" dx="20" fmlaLink="$N$61" fmlaRange="Lookups!$B$86:$B$94" noThreeD="1" sel="7" val="0"/>
</file>

<file path=xl/ctrlProps/ctrlProp69.xml><?xml version="1.0" encoding="utf-8"?>
<formControlPr xmlns="http://schemas.microsoft.com/office/spreadsheetml/2009/9/main" objectType="List" dx="20" fmlaLink="$F$86" fmlaRange="Lookups!$B$42:$B$45" noThreeD="1" sel="3" val="0"/>
</file>

<file path=xl/ctrlProps/ctrlProp70.xml><?xml version="1.0" encoding="utf-8"?>
<formControlPr xmlns="http://schemas.microsoft.com/office/spreadsheetml/2009/9/main" objectType="List" dx="20" fmlaLink="$A$86" fmlaRange="Lookups!$B$42:$B$45" noThreeD="1" sel="3" val="0"/>
</file>

<file path=xl/ctrlProps/ctrlProp71.xml><?xml version="1.0" encoding="utf-8"?>
<formControlPr xmlns="http://schemas.microsoft.com/office/spreadsheetml/2009/9/main" objectType="List" dx="20" fmlaLink="$U$62" fmlaRange="Lookups!$B$97:$B$101" noThreeD="1" sel="2" val="0"/>
</file>

<file path=xl/ctrlProps/ctrlProp72.xml><?xml version="1.0" encoding="utf-8"?>
<formControlPr xmlns="http://schemas.microsoft.com/office/spreadsheetml/2009/9/main" objectType="List" dx="20" fmlaLink="$B$69" fmlaRange="Lookups!$B$86:$B$94" noThreeD="1" sel="9" val="0"/>
</file>

<file path=xl/ctrlProps/ctrlProp73.xml><?xml version="1.0" encoding="utf-8"?>
<formControlPr xmlns="http://schemas.microsoft.com/office/spreadsheetml/2009/9/main" objectType="List" dx="20" fmlaLink="$I$70" fmlaRange="Lookups!$B$97:$B$101" noThreeD="1" sel="5" val="0"/>
</file>

<file path=xl/ctrlProps/ctrlProp74.xml><?xml version="1.0" encoding="utf-8"?>
<formControlPr xmlns="http://schemas.microsoft.com/office/spreadsheetml/2009/9/main" objectType="List" dx="20" fmlaLink="$Y$69" fmlaRange="Lookups!$B$104:$B$111" multiSel="3" noThreeD="1" sel="7" seltype="multi" val="0"/>
</file>

<file path=xl/ctrlProps/ctrlProp75.xml><?xml version="1.0" encoding="utf-8"?>
<formControlPr xmlns="http://schemas.microsoft.com/office/spreadsheetml/2009/9/main" objectType="List" dx="20" fmlaLink="$AD$70" fmlaRange="Lookups!$B$123:$B$127" noThreeD="1" sel="4" val="0"/>
</file>

<file path=xl/ctrlProps/ctrlProp76.xml><?xml version="1.0" encoding="utf-8"?>
<formControlPr xmlns="http://schemas.microsoft.com/office/spreadsheetml/2009/9/main" objectType="List" dx="20" fmlaLink="$N$69" fmlaRange="Lookups!$B$86:$B$94" noThreeD="1" sel="9" val="0"/>
</file>

<file path=xl/ctrlProps/ctrlProp77.xml><?xml version="1.0" encoding="utf-8"?>
<formControlPr xmlns="http://schemas.microsoft.com/office/spreadsheetml/2009/9/main" objectType="List" dx="20" fmlaLink="$U$70" fmlaRange="Lookups!$B$97:$B$101" noThreeD="1" sel="5" val="0"/>
</file>

<file path=xl/ctrlProps/ctrlProp78.xml><?xml version="1.0" encoding="utf-8"?>
<formControlPr xmlns="http://schemas.microsoft.com/office/spreadsheetml/2009/9/main" objectType="CheckBox" fmlaLink="$I$164" lockText="1" noThreeD="1"/>
</file>

<file path=xl/ctrlProps/ctrlProp79.xml><?xml version="1.0" encoding="utf-8"?>
<formControlPr xmlns="http://schemas.microsoft.com/office/spreadsheetml/2009/9/main" objectType="CheckBox" fmlaLink="$P$164" lockText="1" noThreeD="1"/>
</file>

<file path=xl/ctrlProps/ctrlProp80.xml><?xml version="1.0" encoding="utf-8"?>
<formControlPr xmlns="http://schemas.microsoft.com/office/spreadsheetml/2009/9/main" objectType="CheckBox" fmlaLink="$W$164" lockText="1" noThreeD="1"/>
</file>

<file path=xl/ctrlProps/ctrlProp81.xml><?xml version="1.0" encoding="utf-8"?>
<formControlPr xmlns="http://schemas.microsoft.com/office/spreadsheetml/2009/9/main" objectType="CheckBox" fmlaLink="$I$165" lockText="1" noThreeD="1"/>
</file>

<file path=xl/ctrlProps/ctrlProp82.xml><?xml version="1.0" encoding="utf-8"?>
<formControlPr xmlns="http://schemas.microsoft.com/office/spreadsheetml/2009/9/main" objectType="CheckBox" fmlaLink="$P$165" lockText="1" noThreeD="1"/>
</file>

<file path=xl/ctrlProps/ctrlProp83.xml><?xml version="1.0" encoding="utf-8"?>
<formControlPr xmlns="http://schemas.microsoft.com/office/spreadsheetml/2009/9/main" objectType="CheckBox" fmlaLink="$W$165" lockText="1" noThreeD="1"/>
</file>

<file path=xl/ctrlProps/ctrlProp84.xml><?xml version="1.0" encoding="utf-8"?>
<formControlPr xmlns="http://schemas.microsoft.com/office/spreadsheetml/2009/9/main" objectType="CheckBox" fmlaLink="$I$169" lockText="1" noThreeD="1"/>
</file>

<file path=xl/ctrlProps/ctrlProp85.xml><?xml version="1.0" encoding="utf-8"?>
<formControlPr xmlns="http://schemas.microsoft.com/office/spreadsheetml/2009/9/main" objectType="CheckBox" checked="Checked" fmlaLink="$P$169" lockText="1" noThreeD="1"/>
</file>

<file path=xl/ctrlProps/ctrlProp86.xml><?xml version="1.0" encoding="utf-8"?>
<formControlPr xmlns="http://schemas.microsoft.com/office/spreadsheetml/2009/9/main" objectType="CheckBox" fmlaLink="$W$169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183</xdr:row>
          <xdr:rowOff>28575</xdr:rowOff>
        </xdr:from>
        <xdr:to>
          <xdr:col>14</xdr:col>
          <xdr:colOff>57150</xdr:colOff>
          <xdr:row>183</xdr:row>
          <xdr:rowOff>666750</xdr:rowOff>
        </xdr:to>
        <xdr:sp macro="" textlink="">
          <xdr:nvSpPr>
            <xdr:cNvPr id="1081" name="List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181</xdr:row>
          <xdr:rowOff>28575</xdr:rowOff>
        </xdr:from>
        <xdr:to>
          <xdr:col>14</xdr:col>
          <xdr:colOff>57150</xdr:colOff>
          <xdr:row>181</xdr:row>
          <xdr:rowOff>666750</xdr:rowOff>
        </xdr:to>
        <xdr:sp macro="" textlink="">
          <xdr:nvSpPr>
            <xdr:cNvPr id="1082" name="List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181</xdr:row>
          <xdr:rowOff>28575</xdr:rowOff>
        </xdr:from>
        <xdr:to>
          <xdr:col>20</xdr:col>
          <xdr:colOff>0</xdr:colOff>
          <xdr:row>181</xdr:row>
          <xdr:rowOff>857250</xdr:rowOff>
        </xdr:to>
        <xdr:sp macro="" textlink="">
          <xdr:nvSpPr>
            <xdr:cNvPr id="1083" name="List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183</xdr:row>
          <xdr:rowOff>28575</xdr:rowOff>
        </xdr:from>
        <xdr:to>
          <xdr:col>20</xdr:col>
          <xdr:colOff>19050</xdr:colOff>
          <xdr:row>183</xdr:row>
          <xdr:rowOff>819150</xdr:rowOff>
        </xdr:to>
        <xdr:sp macro="" textlink="">
          <xdr:nvSpPr>
            <xdr:cNvPr id="1084" name="List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146</xdr:row>
          <xdr:rowOff>57150</xdr:rowOff>
        </xdr:from>
        <xdr:to>
          <xdr:col>22</xdr:col>
          <xdr:colOff>133350</xdr:colOff>
          <xdr:row>147</xdr:row>
          <xdr:rowOff>0</xdr:rowOff>
        </xdr:to>
        <xdr:sp macro="" textlink="">
          <xdr:nvSpPr>
            <xdr:cNvPr id="1087" name="List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227</xdr:row>
          <xdr:rowOff>28575</xdr:rowOff>
        </xdr:from>
        <xdr:to>
          <xdr:col>12</xdr:col>
          <xdr:colOff>0</xdr:colOff>
          <xdr:row>228</xdr:row>
          <xdr:rowOff>0</xdr:rowOff>
        </xdr:to>
        <xdr:sp macro="" textlink="">
          <xdr:nvSpPr>
            <xdr:cNvPr id="1089" name="Check Box 65" descr="Ye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227</xdr:row>
          <xdr:rowOff>28575</xdr:rowOff>
        </xdr:from>
        <xdr:to>
          <xdr:col>15</xdr:col>
          <xdr:colOff>0</xdr:colOff>
          <xdr:row>228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227</xdr:row>
          <xdr:rowOff>28575</xdr:rowOff>
        </xdr:from>
        <xdr:to>
          <xdr:col>18</xdr:col>
          <xdr:colOff>152400</xdr:colOff>
          <xdr:row>228</xdr:row>
          <xdr:rowOff>0</xdr:rowOff>
        </xdr:to>
        <xdr:sp macro="" textlink="">
          <xdr:nvSpPr>
            <xdr:cNvPr id="1091" name="Check Box 67" descr="Y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227</xdr:row>
          <xdr:rowOff>28575</xdr:rowOff>
        </xdr:from>
        <xdr:to>
          <xdr:col>21</xdr:col>
          <xdr:colOff>152400</xdr:colOff>
          <xdr:row>228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145</xdr:row>
          <xdr:rowOff>57150</xdr:rowOff>
        </xdr:from>
        <xdr:to>
          <xdr:col>24</xdr:col>
          <xdr:colOff>133350</xdr:colOff>
          <xdr:row>146</xdr:row>
          <xdr:rowOff>0</xdr:rowOff>
        </xdr:to>
        <xdr:sp macro="" textlink="">
          <xdr:nvSpPr>
            <xdr:cNvPr id="1098" name="List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146</xdr:row>
          <xdr:rowOff>57150</xdr:rowOff>
        </xdr:from>
        <xdr:to>
          <xdr:col>12</xdr:col>
          <xdr:colOff>152400</xdr:colOff>
          <xdr:row>147</xdr:row>
          <xdr:rowOff>0</xdr:rowOff>
        </xdr:to>
        <xdr:sp macro="" textlink="">
          <xdr:nvSpPr>
            <xdr:cNvPr id="1099" name="List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145</xdr:row>
          <xdr:rowOff>66675</xdr:rowOff>
        </xdr:from>
        <xdr:to>
          <xdr:col>15</xdr:col>
          <xdr:colOff>0</xdr:colOff>
          <xdr:row>146</xdr:row>
          <xdr:rowOff>0</xdr:rowOff>
        </xdr:to>
        <xdr:sp macro="" textlink="">
          <xdr:nvSpPr>
            <xdr:cNvPr id="1102" name="List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262</xdr:row>
          <xdr:rowOff>28575</xdr:rowOff>
        </xdr:from>
        <xdr:to>
          <xdr:col>18</xdr:col>
          <xdr:colOff>133350</xdr:colOff>
          <xdr:row>263</xdr:row>
          <xdr:rowOff>133350</xdr:rowOff>
        </xdr:to>
        <xdr:sp macro="" textlink="">
          <xdr:nvSpPr>
            <xdr:cNvPr id="1105" name="Check Box 81" descr="Ye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265</xdr:row>
          <xdr:rowOff>28575</xdr:rowOff>
        </xdr:from>
        <xdr:to>
          <xdr:col>18</xdr:col>
          <xdr:colOff>133350</xdr:colOff>
          <xdr:row>266</xdr:row>
          <xdr:rowOff>152400</xdr:rowOff>
        </xdr:to>
        <xdr:sp macro="" textlink="">
          <xdr:nvSpPr>
            <xdr:cNvPr id="1106" name="Check Box 82" descr="Yes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262</xdr:row>
          <xdr:rowOff>28575</xdr:rowOff>
        </xdr:from>
        <xdr:to>
          <xdr:col>21</xdr:col>
          <xdr:colOff>133350</xdr:colOff>
          <xdr:row>263</xdr:row>
          <xdr:rowOff>152400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265</xdr:row>
          <xdr:rowOff>28575</xdr:rowOff>
        </xdr:from>
        <xdr:to>
          <xdr:col>21</xdr:col>
          <xdr:colOff>133350</xdr:colOff>
          <xdr:row>266</xdr:row>
          <xdr:rowOff>152400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57150</xdr:rowOff>
        </xdr:from>
        <xdr:to>
          <xdr:col>9</xdr:col>
          <xdr:colOff>57150</xdr:colOff>
          <xdr:row>57</xdr:row>
          <xdr:rowOff>104775</xdr:rowOff>
        </xdr:to>
        <xdr:sp macro="" textlink="">
          <xdr:nvSpPr>
            <xdr:cNvPr id="1110" name="List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28575</xdr:rowOff>
        </xdr:from>
        <xdr:to>
          <xdr:col>17</xdr:col>
          <xdr:colOff>104775</xdr:colOff>
          <xdr:row>55</xdr:row>
          <xdr:rowOff>152400</xdr:rowOff>
        </xdr:to>
        <xdr:sp macro="" textlink="">
          <xdr:nvSpPr>
            <xdr:cNvPr id="1111" name="List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57150</xdr:rowOff>
        </xdr:from>
        <xdr:to>
          <xdr:col>6</xdr:col>
          <xdr:colOff>152400</xdr:colOff>
          <xdr:row>66</xdr:row>
          <xdr:rowOff>19050</xdr:rowOff>
        </xdr:to>
        <xdr:sp macro="" textlink="">
          <xdr:nvSpPr>
            <xdr:cNvPr id="1126" name="List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61</xdr:row>
          <xdr:rowOff>28575</xdr:rowOff>
        </xdr:from>
        <xdr:to>
          <xdr:col>11</xdr:col>
          <xdr:colOff>152400</xdr:colOff>
          <xdr:row>64</xdr:row>
          <xdr:rowOff>152400</xdr:rowOff>
        </xdr:to>
        <xdr:sp macro="" textlink="">
          <xdr:nvSpPr>
            <xdr:cNvPr id="1132" name="List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60</xdr:row>
          <xdr:rowOff>57150</xdr:rowOff>
        </xdr:from>
        <xdr:to>
          <xdr:col>28</xdr:col>
          <xdr:colOff>152400</xdr:colOff>
          <xdr:row>65</xdr:row>
          <xdr:rowOff>95250</xdr:rowOff>
        </xdr:to>
        <xdr:sp macro="" textlink="">
          <xdr:nvSpPr>
            <xdr:cNvPr id="1135" name="List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77</xdr:row>
          <xdr:rowOff>28575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1153" name="List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77</xdr:row>
          <xdr:rowOff>28575</xdr:rowOff>
        </xdr:from>
        <xdr:to>
          <xdr:col>9</xdr:col>
          <xdr:colOff>66675</xdr:colOff>
          <xdr:row>80</xdr:row>
          <xdr:rowOff>152400</xdr:rowOff>
        </xdr:to>
        <xdr:sp macro="" textlink="">
          <xdr:nvSpPr>
            <xdr:cNvPr id="1154" name="List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104775</xdr:colOff>
          <xdr:row>61</xdr:row>
          <xdr:rowOff>28575</xdr:rowOff>
        </xdr:from>
        <xdr:to>
          <xdr:col>33</xdr:col>
          <xdr:colOff>38100</xdr:colOff>
          <xdr:row>64</xdr:row>
          <xdr:rowOff>133350</xdr:rowOff>
        </xdr:to>
        <xdr:sp macro="" textlink="">
          <xdr:nvSpPr>
            <xdr:cNvPr id="1155" name="List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117556</xdr:colOff>
      <xdr:row>114</xdr:row>
      <xdr:rowOff>102249</xdr:rowOff>
    </xdr:from>
    <xdr:to>
      <xdr:col>29</xdr:col>
      <xdr:colOff>178937</xdr:colOff>
      <xdr:row>118</xdr:row>
      <xdr:rowOff>117360</xdr:rowOff>
    </xdr:to>
    <xdr:sp macro="" textlink="">
      <xdr:nvSpPr>
        <xdr:cNvPr id="145" name="Freeform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689056" y="18961749"/>
          <a:ext cx="5014381" cy="707838"/>
        </a:xfrm>
        <a:custGeom>
          <a:avLst/>
          <a:gdLst>
            <a:gd name="connsiteX0" fmla="*/ 0 w 5269134"/>
            <a:gd name="connsiteY0" fmla="*/ 0 h 486663"/>
            <a:gd name="connsiteX1" fmla="*/ 66675 w 5269134"/>
            <a:gd name="connsiteY1" fmla="*/ 28575 h 486663"/>
            <a:gd name="connsiteX2" fmla="*/ 209550 w 5269134"/>
            <a:gd name="connsiteY2" fmla="*/ 47625 h 486663"/>
            <a:gd name="connsiteX3" fmla="*/ 304800 w 5269134"/>
            <a:gd name="connsiteY3" fmla="*/ 38100 h 486663"/>
            <a:gd name="connsiteX4" fmla="*/ 342900 w 5269134"/>
            <a:gd name="connsiteY4" fmla="*/ 28575 h 486663"/>
            <a:gd name="connsiteX5" fmla="*/ 409575 w 5269134"/>
            <a:gd name="connsiteY5" fmla="*/ 38100 h 486663"/>
            <a:gd name="connsiteX6" fmla="*/ 438150 w 5269134"/>
            <a:gd name="connsiteY6" fmla="*/ 57150 h 486663"/>
            <a:gd name="connsiteX7" fmla="*/ 495300 w 5269134"/>
            <a:gd name="connsiteY7" fmla="*/ 76200 h 486663"/>
            <a:gd name="connsiteX8" fmla="*/ 542925 w 5269134"/>
            <a:gd name="connsiteY8" fmla="*/ 66675 h 486663"/>
            <a:gd name="connsiteX9" fmla="*/ 600075 w 5269134"/>
            <a:gd name="connsiteY9" fmla="*/ 28575 h 486663"/>
            <a:gd name="connsiteX10" fmla="*/ 704850 w 5269134"/>
            <a:gd name="connsiteY10" fmla="*/ 19050 h 486663"/>
            <a:gd name="connsiteX11" fmla="*/ 790575 w 5269134"/>
            <a:gd name="connsiteY11" fmla="*/ 38100 h 486663"/>
            <a:gd name="connsiteX12" fmla="*/ 819150 w 5269134"/>
            <a:gd name="connsiteY12" fmla="*/ 47625 h 486663"/>
            <a:gd name="connsiteX13" fmla="*/ 904875 w 5269134"/>
            <a:gd name="connsiteY13" fmla="*/ 66675 h 486663"/>
            <a:gd name="connsiteX14" fmla="*/ 1028700 w 5269134"/>
            <a:gd name="connsiteY14" fmla="*/ 28575 h 486663"/>
            <a:gd name="connsiteX15" fmla="*/ 1123950 w 5269134"/>
            <a:gd name="connsiteY15" fmla="*/ 57150 h 486663"/>
            <a:gd name="connsiteX16" fmla="*/ 1143000 w 5269134"/>
            <a:gd name="connsiteY16" fmla="*/ 95250 h 486663"/>
            <a:gd name="connsiteX17" fmla="*/ 1190625 w 5269134"/>
            <a:gd name="connsiteY17" fmla="*/ 133350 h 486663"/>
            <a:gd name="connsiteX18" fmla="*/ 1228725 w 5269134"/>
            <a:gd name="connsiteY18" fmla="*/ 171450 h 486663"/>
            <a:gd name="connsiteX19" fmla="*/ 1257300 w 5269134"/>
            <a:gd name="connsiteY19" fmla="*/ 209550 h 486663"/>
            <a:gd name="connsiteX20" fmla="*/ 1333500 w 5269134"/>
            <a:gd name="connsiteY20" fmla="*/ 219075 h 486663"/>
            <a:gd name="connsiteX21" fmla="*/ 1466850 w 5269134"/>
            <a:gd name="connsiteY21" fmla="*/ 228600 h 486663"/>
            <a:gd name="connsiteX22" fmla="*/ 1590675 w 5269134"/>
            <a:gd name="connsiteY22" fmla="*/ 200025 h 486663"/>
            <a:gd name="connsiteX23" fmla="*/ 1619250 w 5269134"/>
            <a:gd name="connsiteY23" fmla="*/ 190500 h 486663"/>
            <a:gd name="connsiteX24" fmla="*/ 1657350 w 5269134"/>
            <a:gd name="connsiteY24" fmla="*/ 200025 h 486663"/>
            <a:gd name="connsiteX25" fmla="*/ 1743075 w 5269134"/>
            <a:gd name="connsiteY25" fmla="*/ 171450 h 486663"/>
            <a:gd name="connsiteX26" fmla="*/ 1819275 w 5269134"/>
            <a:gd name="connsiteY26" fmla="*/ 123825 h 486663"/>
            <a:gd name="connsiteX27" fmla="*/ 1876425 w 5269134"/>
            <a:gd name="connsiteY27" fmla="*/ 104775 h 486663"/>
            <a:gd name="connsiteX28" fmla="*/ 1924050 w 5269134"/>
            <a:gd name="connsiteY28" fmla="*/ 57150 h 486663"/>
            <a:gd name="connsiteX29" fmla="*/ 1952625 w 5269134"/>
            <a:gd name="connsiteY29" fmla="*/ 66675 h 486663"/>
            <a:gd name="connsiteX30" fmla="*/ 1981200 w 5269134"/>
            <a:gd name="connsiteY30" fmla="*/ 57150 h 486663"/>
            <a:gd name="connsiteX31" fmla="*/ 2095500 w 5269134"/>
            <a:gd name="connsiteY31" fmla="*/ 85725 h 486663"/>
            <a:gd name="connsiteX32" fmla="*/ 2152650 w 5269134"/>
            <a:gd name="connsiteY32" fmla="*/ 95250 h 486663"/>
            <a:gd name="connsiteX33" fmla="*/ 2181225 w 5269134"/>
            <a:gd name="connsiteY33" fmla="*/ 104775 h 486663"/>
            <a:gd name="connsiteX34" fmla="*/ 2333625 w 5269134"/>
            <a:gd name="connsiteY34" fmla="*/ 114300 h 486663"/>
            <a:gd name="connsiteX35" fmla="*/ 2438400 w 5269134"/>
            <a:gd name="connsiteY35" fmla="*/ 152400 h 486663"/>
            <a:gd name="connsiteX36" fmla="*/ 2486025 w 5269134"/>
            <a:gd name="connsiteY36" fmla="*/ 161925 h 486663"/>
            <a:gd name="connsiteX37" fmla="*/ 2543175 w 5269134"/>
            <a:gd name="connsiteY37" fmla="*/ 171450 h 486663"/>
            <a:gd name="connsiteX38" fmla="*/ 2638425 w 5269134"/>
            <a:gd name="connsiteY38" fmla="*/ 180975 h 486663"/>
            <a:gd name="connsiteX39" fmla="*/ 2657475 w 5269134"/>
            <a:gd name="connsiteY39" fmla="*/ 209550 h 486663"/>
            <a:gd name="connsiteX40" fmla="*/ 2714625 w 5269134"/>
            <a:gd name="connsiteY40" fmla="*/ 257175 h 486663"/>
            <a:gd name="connsiteX41" fmla="*/ 2733675 w 5269134"/>
            <a:gd name="connsiteY41" fmla="*/ 285750 h 486663"/>
            <a:gd name="connsiteX42" fmla="*/ 2771775 w 5269134"/>
            <a:gd name="connsiteY42" fmla="*/ 314325 h 486663"/>
            <a:gd name="connsiteX43" fmla="*/ 2857500 w 5269134"/>
            <a:gd name="connsiteY43" fmla="*/ 361950 h 486663"/>
            <a:gd name="connsiteX44" fmla="*/ 2905125 w 5269134"/>
            <a:gd name="connsiteY44" fmla="*/ 381000 h 486663"/>
            <a:gd name="connsiteX45" fmla="*/ 3000375 w 5269134"/>
            <a:gd name="connsiteY45" fmla="*/ 400050 h 486663"/>
            <a:gd name="connsiteX46" fmla="*/ 3028950 w 5269134"/>
            <a:gd name="connsiteY46" fmla="*/ 409575 h 486663"/>
            <a:gd name="connsiteX47" fmla="*/ 3114675 w 5269134"/>
            <a:gd name="connsiteY47" fmla="*/ 428625 h 486663"/>
            <a:gd name="connsiteX48" fmla="*/ 3209925 w 5269134"/>
            <a:gd name="connsiteY48" fmla="*/ 438150 h 486663"/>
            <a:gd name="connsiteX49" fmla="*/ 3362325 w 5269134"/>
            <a:gd name="connsiteY49" fmla="*/ 457200 h 486663"/>
            <a:gd name="connsiteX50" fmla="*/ 3638550 w 5269134"/>
            <a:gd name="connsiteY50" fmla="*/ 476250 h 486663"/>
            <a:gd name="connsiteX51" fmla="*/ 3781425 w 5269134"/>
            <a:gd name="connsiteY51" fmla="*/ 466725 h 486663"/>
            <a:gd name="connsiteX52" fmla="*/ 3848100 w 5269134"/>
            <a:gd name="connsiteY52" fmla="*/ 438150 h 486663"/>
            <a:gd name="connsiteX53" fmla="*/ 3924300 w 5269134"/>
            <a:gd name="connsiteY53" fmla="*/ 428625 h 486663"/>
            <a:gd name="connsiteX54" fmla="*/ 3962400 w 5269134"/>
            <a:gd name="connsiteY54" fmla="*/ 419100 h 486663"/>
            <a:gd name="connsiteX55" fmla="*/ 4038600 w 5269134"/>
            <a:gd name="connsiteY55" fmla="*/ 390525 h 486663"/>
            <a:gd name="connsiteX56" fmla="*/ 4076700 w 5269134"/>
            <a:gd name="connsiteY56" fmla="*/ 352425 h 486663"/>
            <a:gd name="connsiteX57" fmla="*/ 4114800 w 5269134"/>
            <a:gd name="connsiteY57" fmla="*/ 342900 h 486663"/>
            <a:gd name="connsiteX58" fmla="*/ 4476750 w 5269134"/>
            <a:gd name="connsiteY58" fmla="*/ 352425 h 486663"/>
            <a:gd name="connsiteX59" fmla="*/ 4505325 w 5269134"/>
            <a:gd name="connsiteY59" fmla="*/ 371475 h 486663"/>
            <a:gd name="connsiteX60" fmla="*/ 4933950 w 5269134"/>
            <a:gd name="connsiteY60" fmla="*/ 371475 h 486663"/>
            <a:gd name="connsiteX61" fmla="*/ 5267325 w 5269134"/>
            <a:gd name="connsiteY61" fmla="*/ 419100 h 486663"/>
            <a:gd name="connsiteX62" fmla="*/ 5229225 w 5269134"/>
            <a:gd name="connsiteY62" fmla="*/ 438150 h 486663"/>
            <a:gd name="connsiteX0" fmla="*/ 0 w 5312584"/>
            <a:gd name="connsiteY0" fmla="*/ 0 h 486663"/>
            <a:gd name="connsiteX1" fmla="*/ 66675 w 5312584"/>
            <a:gd name="connsiteY1" fmla="*/ 28575 h 486663"/>
            <a:gd name="connsiteX2" fmla="*/ 209550 w 5312584"/>
            <a:gd name="connsiteY2" fmla="*/ 47625 h 486663"/>
            <a:gd name="connsiteX3" fmla="*/ 304800 w 5312584"/>
            <a:gd name="connsiteY3" fmla="*/ 38100 h 486663"/>
            <a:gd name="connsiteX4" fmla="*/ 342900 w 5312584"/>
            <a:gd name="connsiteY4" fmla="*/ 28575 h 486663"/>
            <a:gd name="connsiteX5" fmla="*/ 409575 w 5312584"/>
            <a:gd name="connsiteY5" fmla="*/ 38100 h 486663"/>
            <a:gd name="connsiteX6" fmla="*/ 438150 w 5312584"/>
            <a:gd name="connsiteY6" fmla="*/ 57150 h 486663"/>
            <a:gd name="connsiteX7" fmla="*/ 495300 w 5312584"/>
            <a:gd name="connsiteY7" fmla="*/ 76200 h 486663"/>
            <a:gd name="connsiteX8" fmla="*/ 542925 w 5312584"/>
            <a:gd name="connsiteY8" fmla="*/ 66675 h 486663"/>
            <a:gd name="connsiteX9" fmla="*/ 600075 w 5312584"/>
            <a:gd name="connsiteY9" fmla="*/ 28575 h 486663"/>
            <a:gd name="connsiteX10" fmla="*/ 704850 w 5312584"/>
            <a:gd name="connsiteY10" fmla="*/ 19050 h 486663"/>
            <a:gd name="connsiteX11" fmla="*/ 790575 w 5312584"/>
            <a:gd name="connsiteY11" fmla="*/ 38100 h 486663"/>
            <a:gd name="connsiteX12" fmla="*/ 819150 w 5312584"/>
            <a:gd name="connsiteY12" fmla="*/ 47625 h 486663"/>
            <a:gd name="connsiteX13" fmla="*/ 904875 w 5312584"/>
            <a:gd name="connsiteY13" fmla="*/ 66675 h 486663"/>
            <a:gd name="connsiteX14" fmla="*/ 1028700 w 5312584"/>
            <a:gd name="connsiteY14" fmla="*/ 28575 h 486663"/>
            <a:gd name="connsiteX15" fmla="*/ 1123950 w 5312584"/>
            <a:gd name="connsiteY15" fmla="*/ 57150 h 486663"/>
            <a:gd name="connsiteX16" fmla="*/ 1143000 w 5312584"/>
            <a:gd name="connsiteY16" fmla="*/ 95250 h 486663"/>
            <a:gd name="connsiteX17" fmla="*/ 1190625 w 5312584"/>
            <a:gd name="connsiteY17" fmla="*/ 133350 h 486663"/>
            <a:gd name="connsiteX18" fmla="*/ 1228725 w 5312584"/>
            <a:gd name="connsiteY18" fmla="*/ 171450 h 486663"/>
            <a:gd name="connsiteX19" fmla="*/ 1257300 w 5312584"/>
            <a:gd name="connsiteY19" fmla="*/ 209550 h 486663"/>
            <a:gd name="connsiteX20" fmla="*/ 1333500 w 5312584"/>
            <a:gd name="connsiteY20" fmla="*/ 219075 h 486663"/>
            <a:gd name="connsiteX21" fmla="*/ 1466850 w 5312584"/>
            <a:gd name="connsiteY21" fmla="*/ 228600 h 486663"/>
            <a:gd name="connsiteX22" fmla="*/ 1590675 w 5312584"/>
            <a:gd name="connsiteY22" fmla="*/ 200025 h 486663"/>
            <a:gd name="connsiteX23" fmla="*/ 1619250 w 5312584"/>
            <a:gd name="connsiteY23" fmla="*/ 190500 h 486663"/>
            <a:gd name="connsiteX24" fmla="*/ 1657350 w 5312584"/>
            <a:gd name="connsiteY24" fmla="*/ 200025 h 486663"/>
            <a:gd name="connsiteX25" fmla="*/ 1743075 w 5312584"/>
            <a:gd name="connsiteY25" fmla="*/ 171450 h 486663"/>
            <a:gd name="connsiteX26" fmla="*/ 1819275 w 5312584"/>
            <a:gd name="connsiteY26" fmla="*/ 123825 h 486663"/>
            <a:gd name="connsiteX27" fmla="*/ 1876425 w 5312584"/>
            <a:gd name="connsiteY27" fmla="*/ 104775 h 486663"/>
            <a:gd name="connsiteX28" fmla="*/ 1924050 w 5312584"/>
            <a:gd name="connsiteY28" fmla="*/ 57150 h 486663"/>
            <a:gd name="connsiteX29" fmla="*/ 1952625 w 5312584"/>
            <a:gd name="connsiteY29" fmla="*/ 66675 h 486663"/>
            <a:gd name="connsiteX30" fmla="*/ 1981200 w 5312584"/>
            <a:gd name="connsiteY30" fmla="*/ 57150 h 486663"/>
            <a:gd name="connsiteX31" fmla="*/ 2095500 w 5312584"/>
            <a:gd name="connsiteY31" fmla="*/ 85725 h 486663"/>
            <a:gd name="connsiteX32" fmla="*/ 2152650 w 5312584"/>
            <a:gd name="connsiteY32" fmla="*/ 95250 h 486663"/>
            <a:gd name="connsiteX33" fmla="*/ 2181225 w 5312584"/>
            <a:gd name="connsiteY33" fmla="*/ 104775 h 486663"/>
            <a:gd name="connsiteX34" fmla="*/ 2333625 w 5312584"/>
            <a:gd name="connsiteY34" fmla="*/ 114300 h 486663"/>
            <a:gd name="connsiteX35" fmla="*/ 2438400 w 5312584"/>
            <a:gd name="connsiteY35" fmla="*/ 152400 h 486663"/>
            <a:gd name="connsiteX36" fmla="*/ 2486025 w 5312584"/>
            <a:gd name="connsiteY36" fmla="*/ 161925 h 486663"/>
            <a:gd name="connsiteX37" fmla="*/ 2543175 w 5312584"/>
            <a:gd name="connsiteY37" fmla="*/ 171450 h 486663"/>
            <a:gd name="connsiteX38" fmla="*/ 2638425 w 5312584"/>
            <a:gd name="connsiteY38" fmla="*/ 180975 h 486663"/>
            <a:gd name="connsiteX39" fmla="*/ 2657475 w 5312584"/>
            <a:gd name="connsiteY39" fmla="*/ 209550 h 486663"/>
            <a:gd name="connsiteX40" fmla="*/ 2714625 w 5312584"/>
            <a:gd name="connsiteY40" fmla="*/ 257175 h 486663"/>
            <a:gd name="connsiteX41" fmla="*/ 2733675 w 5312584"/>
            <a:gd name="connsiteY41" fmla="*/ 285750 h 486663"/>
            <a:gd name="connsiteX42" fmla="*/ 2771775 w 5312584"/>
            <a:gd name="connsiteY42" fmla="*/ 314325 h 486663"/>
            <a:gd name="connsiteX43" fmla="*/ 2857500 w 5312584"/>
            <a:gd name="connsiteY43" fmla="*/ 361950 h 486663"/>
            <a:gd name="connsiteX44" fmla="*/ 2905125 w 5312584"/>
            <a:gd name="connsiteY44" fmla="*/ 381000 h 486663"/>
            <a:gd name="connsiteX45" fmla="*/ 3000375 w 5312584"/>
            <a:gd name="connsiteY45" fmla="*/ 400050 h 486663"/>
            <a:gd name="connsiteX46" fmla="*/ 3028950 w 5312584"/>
            <a:gd name="connsiteY46" fmla="*/ 409575 h 486663"/>
            <a:gd name="connsiteX47" fmla="*/ 3114675 w 5312584"/>
            <a:gd name="connsiteY47" fmla="*/ 428625 h 486663"/>
            <a:gd name="connsiteX48" fmla="*/ 3209925 w 5312584"/>
            <a:gd name="connsiteY48" fmla="*/ 438150 h 486663"/>
            <a:gd name="connsiteX49" fmla="*/ 3362325 w 5312584"/>
            <a:gd name="connsiteY49" fmla="*/ 457200 h 486663"/>
            <a:gd name="connsiteX50" fmla="*/ 3638550 w 5312584"/>
            <a:gd name="connsiteY50" fmla="*/ 476250 h 486663"/>
            <a:gd name="connsiteX51" fmla="*/ 3781425 w 5312584"/>
            <a:gd name="connsiteY51" fmla="*/ 466725 h 486663"/>
            <a:gd name="connsiteX52" fmla="*/ 3848100 w 5312584"/>
            <a:gd name="connsiteY52" fmla="*/ 438150 h 486663"/>
            <a:gd name="connsiteX53" fmla="*/ 3924300 w 5312584"/>
            <a:gd name="connsiteY53" fmla="*/ 428625 h 486663"/>
            <a:gd name="connsiteX54" fmla="*/ 3962400 w 5312584"/>
            <a:gd name="connsiteY54" fmla="*/ 419100 h 486663"/>
            <a:gd name="connsiteX55" fmla="*/ 4038600 w 5312584"/>
            <a:gd name="connsiteY55" fmla="*/ 390525 h 486663"/>
            <a:gd name="connsiteX56" fmla="*/ 4076700 w 5312584"/>
            <a:gd name="connsiteY56" fmla="*/ 352425 h 486663"/>
            <a:gd name="connsiteX57" fmla="*/ 4114800 w 5312584"/>
            <a:gd name="connsiteY57" fmla="*/ 342900 h 486663"/>
            <a:gd name="connsiteX58" fmla="*/ 4476750 w 5312584"/>
            <a:gd name="connsiteY58" fmla="*/ 352425 h 486663"/>
            <a:gd name="connsiteX59" fmla="*/ 4505325 w 5312584"/>
            <a:gd name="connsiteY59" fmla="*/ 371475 h 486663"/>
            <a:gd name="connsiteX60" fmla="*/ 5267325 w 5312584"/>
            <a:gd name="connsiteY60" fmla="*/ 419100 h 486663"/>
            <a:gd name="connsiteX61" fmla="*/ 5229225 w 5312584"/>
            <a:gd name="connsiteY61" fmla="*/ 438150 h 486663"/>
            <a:gd name="connsiteX0" fmla="*/ 0 w 5267325"/>
            <a:gd name="connsiteY0" fmla="*/ 0 h 486663"/>
            <a:gd name="connsiteX1" fmla="*/ 66675 w 5267325"/>
            <a:gd name="connsiteY1" fmla="*/ 28575 h 486663"/>
            <a:gd name="connsiteX2" fmla="*/ 209550 w 5267325"/>
            <a:gd name="connsiteY2" fmla="*/ 47625 h 486663"/>
            <a:gd name="connsiteX3" fmla="*/ 304800 w 5267325"/>
            <a:gd name="connsiteY3" fmla="*/ 38100 h 486663"/>
            <a:gd name="connsiteX4" fmla="*/ 342900 w 5267325"/>
            <a:gd name="connsiteY4" fmla="*/ 28575 h 486663"/>
            <a:gd name="connsiteX5" fmla="*/ 409575 w 5267325"/>
            <a:gd name="connsiteY5" fmla="*/ 38100 h 486663"/>
            <a:gd name="connsiteX6" fmla="*/ 438150 w 5267325"/>
            <a:gd name="connsiteY6" fmla="*/ 57150 h 486663"/>
            <a:gd name="connsiteX7" fmla="*/ 495300 w 5267325"/>
            <a:gd name="connsiteY7" fmla="*/ 76200 h 486663"/>
            <a:gd name="connsiteX8" fmla="*/ 542925 w 5267325"/>
            <a:gd name="connsiteY8" fmla="*/ 66675 h 486663"/>
            <a:gd name="connsiteX9" fmla="*/ 600075 w 5267325"/>
            <a:gd name="connsiteY9" fmla="*/ 28575 h 486663"/>
            <a:gd name="connsiteX10" fmla="*/ 704850 w 5267325"/>
            <a:gd name="connsiteY10" fmla="*/ 19050 h 486663"/>
            <a:gd name="connsiteX11" fmla="*/ 790575 w 5267325"/>
            <a:gd name="connsiteY11" fmla="*/ 38100 h 486663"/>
            <a:gd name="connsiteX12" fmla="*/ 819150 w 5267325"/>
            <a:gd name="connsiteY12" fmla="*/ 47625 h 486663"/>
            <a:gd name="connsiteX13" fmla="*/ 904875 w 5267325"/>
            <a:gd name="connsiteY13" fmla="*/ 66675 h 486663"/>
            <a:gd name="connsiteX14" fmla="*/ 1028700 w 5267325"/>
            <a:gd name="connsiteY14" fmla="*/ 28575 h 486663"/>
            <a:gd name="connsiteX15" fmla="*/ 1123950 w 5267325"/>
            <a:gd name="connsiteY15" fmla="*/ 57150 h 486663"/>
            <a:gd name="connsiteX16" fmla="*/ 1143000 w 5267325"/>
            <a:gd name="connsiteY16" fmla="*/ 95250 h 486663"/>
            <a:gd name="connsiteX17" fmla="*/ 1190625 w 5267325"/>
            <a:gd name="connsiteY17" fmla="*/ 133350 h 486663"/>
            <a:gd name="connsiteX18" fmla="*/ 1228725 w 5267325"/>
            <a:gd name="connsiteY18" fmla="*/ 171450 h 486663"/>
            <a:gd name="connsiteX19" fmla="*/ 1257300 w 5267325"/>
            <a:gd name="connsiteY19" fmla="*/ 209550 h 486663"/>
            <a:gd name="connsiteX20" fmla="*/ 1333500 w 5267325"/>
            <a:gd name="connsiteY20" fmla="*/ 219075 h 486663"/>
            <a:gd name="connsiteX21" fmla="*/ 1466850 w 5267325"/>
            <a:gd name="connsiteY21" fmla="*/ 228600 h 486663"/>
            <a:gd name="connsiteX22" fmla="*/ 1590675 w 5267325"/>
            <a:gd name="connsiteY22" fmla="*/ 200025 h 486663"/>
            <a:gd name="connsiteX23" fmla="*/ 1619250 w 5267325"/>
            <a:gd name="connsiteY23" fmla="*/ 190500 h 486663"/>
            <a:gd name="connsiteX24" fmla="*/ 1657350 w 5267325"/>
            <a:gd name="connsiteY24" fmla="*/ 200025 h 486663"/>
            <a:gd name="connsiteX25" fmla="*/ 1743075 w 5267325"/>
            <a:gd name="connsiteY25" fmla="*/ 171450 h 486663"/>
            <a:gd name="connsiteX26" fmla="*/ 1819275 w 5267325"/>
            <a:gd name="connsiteY26" fmla="*/ 123825 h 486663"/>
            <a:gd name="connsiteX27" fmla="*/ 1876425 w 5267325"/>
            <a:gd name="connsiteY27" fmla="*/ 104775 h 486663"/>
            <a:gd name="connsiteX28" fmla="*/ 1924050 w 5267325"/>
            <a:gd name="connsiteY28" fmla="*/ 57150 h 486663"/>
            <a:gd name="connsiteX29" fmla="*/ 1952625 w 5267325"/>
            <a:gd name="connsiteY29" fmla="*/ 66675 h 486663"/>
            <a:gd name="connsiteX30" fmla="*/ 1981200 w 5267325"/>
            <a:gd name="connsiteY30" fmla="*/ 57150 h 486663"/>
            <a:gd name="connsiteX31" fmla="*/ 2095500 w 5267325"/>
            <a:gd name="connsiteY31" fmla="*/ 85725 h 486663"/>
            <a:gd name="connsiteX32" fmla="*/ 2152650 w 5267325"/>
            <a:gd name="connsiteY32" fmla="*/ 95250 h 486663"/>
            <a:gd name="connsiteX33" fmla="*/ 2181225 w 5267325"/>
            <a:gd name="connsiteY33" fmla="*/ 104775 h 486663"/>
            <a:gd name="connsiteX34" fmla="*/ 2333625 w 5267325"/>
            <a:gd name="connsiteY34" fmla="*/ 114300 h 486663"/>
            <a:gd name="connsiteX35" fmla="*/ 2438400 w 5267325"/>
            <a:gd name="connsiteY35" fmla="*/ 152400 h 486663"/>
            <a:gd name="connsiteX36" fmla="*/ 2486025 w 5267325"/>
            <a:gd name="connsiteY36" fmla="*/ 161925 h 486663"/>
            <a:gd name="connsiteX37" fmla="*/ 2543175 w 5267325"/>
            <a:gd name="connsiteY37" fmla="*/ 171450 h 486663"/>
            <a:gd name="connsiteX38" fmla="*/ 2638425 w 5267325"/>
            <a:gd name="connsiteY38" fmla="*/ 180975 h 486663"/>
            <a:gd name="connsiteX39" fmla="*/ 2657475 w 5267325"/>
            <a:gd name="connsiteY39" fmla="*/ 209550 h 486663"/>
            <a:gd name="connsiteX40" fmla="*/ 2714625 w 5267325"/>
            <a:gd name="connsiteY40" fmla="*/ 257175 h 486663"/>
            <a:gd name="connsiteX41" fmla="*/ 2733675 w 5267325"/>
            <a:gd name="connsiteY41" fmla="*/ 285750 h 486663"/>
            <a:gd name="connsiteX42" fmla="*/ 2771775 w 5267325"/>
            <a:gd name="connsiteY42" fmla="*/ 314325 h 486663"/>
            <a:gd name="connsiteX43" fmla="*/ 2857500 w 5267325"/>
            <a:gd name="connsiteY43" fmla="*/ 361950 h 486663"/>
            <a:gd name="connsiteX44" fmla="*/ 2905125 w 5267325"/>
            <a:gd name="connsiteY44" fmla="*/ 381000 h 486663"/>
            <a:gd name="connsiteX45" fmla="*/ 3000375 w 5267325"/>
            <a:gd name="connsiteY45" fmla="*/ 400050 h 486663"/>
            <a:gd name="connsiteX46" fmla="*/ 3028950 w 5267325"/>
            <a:gd name="connsiteY46" fmla="*/ 409575 h 486663"/>
            <a:gd name="connsiteX47" fmla="*/ 3114675 w 5267325"/>
            <a:gd name="connsiteY47" fmla="*/ 428625 h 486663"/>
            <a:gd name="connsiteX48" fmla="*/ 3209925 w 5267325"/>
            <a:gd name="connsiteY48" fmla="*/ 438150 h 486663"/>
            <a:gd name="connsiteX49" fmla="*/ 3362325 w 5267325"/>
            <a:gd name="connsiteY49" fmla="*/ 457200 h 486663"/>
            <a:gd name="connsiteX50" fmla="*/ 3638550 w 5267325"/>
            <a:gd name="connsiteY50" fmla="*/ 476250 h 486663"/>
            <a:gd name="connsiteX51" fmla="*/ 3781425 w 5267325"/>
            <a:gd name="connsiteY51" fmla="*/ 466725 h 486663"/>
            <a:gd name="connsiteX52" fmla="*/ 3848100 w 5267325"/>
            <a:gd name="connsiteY52" fmla="*/ 438150 h 486663"/>
            <a:gd name="connsiteX53" fmla="*/ 3924300 w 5267325"/>
            <a:gd name="connsiteY53" fmla="*/ 428625 h 486663"/>
            <a:gd name="connsiteX54" fmla="*/ 3962400 w 5267325"/>
            <a:gd name="connsiteY54" fmla="*/ 419100 h 486663"/>
            <a:gd name="connsiteX55" fmla="*/ 4038600 w 5267325"/>
            <a:gd name="connsiteY55" fmla="*/ 390525 h 486663"/>
            <a:gd name="connsiteX56" fmla="*/ 4076700 w 5267325"/>
            <a:gd name="connsiteY56" fmla="*/ 352425 h 486663"/>
            <a:gd name="connsiteX57" fmla="*/ 4114800 w 5267325"/>
            <a:gd name="connsiteY57" fmla="*/ 342900 h 486663"/>
            <a:gd name="connsiteX58" fmla="*/ 4476750 w 5267325"/>
            <a:gd name="connsiteY58" fmla="*/ 352425 h 486663"/>
            <a:gd name="connsiteX59" fmla="*/ 4505325 w 5267325"/>
            <a:gd name="connsiteY59" fmla="*/ 371475 h 486663"/>
            <a:gd name="connsiteX60" fmla="*/ 5267325 w 5267325"/>
            <a:gd name="connsiteY60" fmla="*/ 419100 h 486663"/>
            <a:gd name="connsiteX0" fmla="*/ 0 w 4505325"/>
            <a:gd name="connsiteY0" fmla="*/ 0 h 486663"/>
            <a:gd name="connsiteX1" fmla="*/ 66675 w 4505325"/>
            <a:gd name="connsiteY1" fmla="*/ 28575 h 486663"/>
            <a:gd name="connsiteX2" fmla="*/ 209550 w 4505325"/>
            <a:gd name="connsiteY2" fmla="*/ 47625 h 486663"/>
            <a:gd name="connsiteX3" fmla="*/ 304800 w 4505325"/>
            <a:gd name="connsiteY3" fmla="*/ 38100 h 486663"/>
            <a:gd name="connsiteX4" fmla="*/ 342900 w 4505325"/>
            <a:gd name="connsiteY4" fmla="*/ 28575 h 486663"/>
            <a:gd name="connsiteX5" fmla="*/ 409575 w 4505325"/>
            <a:gd name="connsiteY5" fmla="*/ 38100 h 486663"/>
            <a:gd name="connsiteX6" fmla="*/ 438150 w 4505325"/>
            <a:gd name="connsiteY6" fmla="*/ 57150 h 486663"/>
            <a:gd name="connsiteX7" fmla="*/ 495300 w 4505325"/>
            <a:gd name="connsiteY7" fmla="*/ 76200 h 486663"/>
            <a:gd name="connsiteX8" fmla="*/ 542925 w 4505325"/>
            <a:gd name="connsiteY8" fmla="*/ 66675 h 486663"/>
            <a:gd name="connsiteX9" fmla="*/ 600075 w 4505325"/>
            <a:gd name="connsiteY9" fmla="*/ 28575 h 486663"/>
            <a:gd name="connsiteX10" fmla="*/ 704850 w 4505325"/>
            <a:gd name="connsiteY10" fmla="*/ 19050 h 486663"/>
            <a:gd name="connsiteX11" fmla="*/ 790575 w 4505325"/>
            <a:gd name="connsiteY11" fmla="*/ 38100 h 486663"/>
            <a:gd name="connsiteX12" fmla="*/ 819150 w 4505325"/>
            <a:gd name="connsiteY12" fmla="*/ 47625 h 486663"/>
            <a:gd name="connsiteX13" fmla="*/ 904875 w 4505325"/>
            <a:gd name="connsiteY13" fmla="*/ 66675 h 486663"/>
            <a:gd name="connsiteX14" fmla="*/ 1028700 w 4505325"/>
            <a:gd name="connsiteY14" fmla="*/ 28575 h 486663"/>
            <a:gd name="connsiteX15" fmla="*/ 1123950 w 4505325"/>
            <a:gd name="connsiteY15" fmla="*/ 57150 h 486663"/>
            <a:gd name="connsiteX16" fmla="*/ 1143000 w 4505325"/>
            <a:gd name="connsiteY16" fmla="*/ 95250 h 486663"/>
            <a:gd name="connsiteX17" fmla="*/ 1190625 w 4505325"/>
            <a:gd name="connsiteY17" fmla="*/ 133350 h 486663"/>
            <a:gd name="connsiteX18" fmla="*/ 1228725 w 4505325"/>
            <a:gd name="connsiteY18" fmla="*/ 171450 h 486663"/>
            <a:gd name="connsiteX19" fmla="*/ 1257300 w 4505325"/>
            <a:gd name="connsiteY19" fmla="*/ 209550 h 486663"/>
            <a:gd name="connsiteX20" fmla="*/ 1333500 w 4505325"/>
            <a:gd name="connsiteY20" fmla="*/ 219075 h 486663"/>
            <a:gd name="connsiteX21" fmla="*/ 1466850 w 4505325"/>
            <a:gd name="connsiteY21" fmla="*/ 228600 h 486663"/>
            <a:gd name="connsiteX22" fmla="*/ 1590675 w 4505325"/>
            <a:gd name="connsiteY22" fmla="*/ 200025 h 486663"/>
            <a:gd name="connsiteX23" fmla="*/ 1619250 w 4505325"/>
            <a:gd name="connsiteY23" fmla="*/ 190500 h 486663"/>
            <a:gd name="connsiteX24" fmla="*/ 1657350 w 4505325"/>
            <a:gd name="connsiteY24" fmla="*/ 200025 h 486663"/>
            <a:gd name="connsiteX25" fmla="*/ 1743075 w 4505325"/>
            <a:gd name="connsiteY25" fmla="*/ 171450 h 486663"/>
            <a:gd name="connsiteX26" fmla="*/ 1819275 w 4505325"/>
            <a:gd name="connsiteY26" fmla="*/ 123825 h 486663"/>
            <a:gd name="connsiteX27" fmla="*/ 1876425 w 4505325"/>
            <a:gd name="connsiteY27" fmla="*/ 104775 h 486663"/>
            <a:gd name="connsiteX28" fmla="*/ 1924050 w 4505325"/>
            <a:gd name="connsiteY28" fmla="*/ 57150 h 486663"/>
            <a:gd name="connsiteX29" fmla="*/ 1952625 w 4505325"/>
            <a:gd name="connsiteY29" fmla="*/ 66675 h 486663"/>
            <a:gd name="connsiteX30" fmla="*/ 1981200 w 4505325"/>
            <a:gd name="connsiteY30" fmla="*/ 57150 h 486663"/>
            <a:gd name="connsiteX31" fmla="*/ 2095500 w 4505325"/>
            <a:gd name="connsiteY31" fmla="*/ 85725 h 486663"/>
            <a:gd name="connsiteX32" fmla="*/ 2152650 w 4505325"/>
            <a:gd name="connsiteY32" fmla="*/ 95250 h 486663"/>
            <a:gd name="connsiteX33" fmla="*/ 2181225 w 4505325"/>
            <a:gd name="connsiteY33" fmla="*/ 104775 h 486663"/>
            <a:gd name="connsiteX34" fmla="*/ 2333625 w 4505325"/>
            <a:gd name="connsiteY34" fmla="*/ 114300 h 486663"/>
            <a:gd name="connsiteX35" fmla="*/ 2438400 w 4505325"/>
            <a:gd name="connsiteY35" fmla="*/ 152400 h 486663"/>
            <a:gd name="connsiteX36" fmla="*/ 2486025 w 4505325"/>
            <a:gd name="connsiteY36" fmla="*/ 161925 h 486663"/>
            <a:gd name="connsiteX37" fmla="*/ 2543175 w 4505325"/>
            <a:gd name="connsiteY37" fmla="*/ 171450 h 486663"/>
            <a:gd name="connsiteX38" fmla="*/ 2638425 w 4505325"/>
            <a:gd name="connsiteY38" fmla="*/ 180975 h 486663"/>
            <a:gd name="connsiteX39" fmla="*/ 2657475 w 4505325"/>
            <a:gd name="connsiteY39" fmla="*/ 209550 h 486663"/>
            <a:gd name="connsiteX40" fmla="*/ 2714625 w 4505325"/>
            <a:gd name="connsiteY40" fmla="*/ 257175 h 486663"/>
            <a:gd name="connsiteX41" fmla="*/ 2733675 w 4505325"/>
            <a:gd name="connsiteY41" fmla="*/ 285750 h 486663"/>
            <a:gd name="connsiteX42" fmla="*/ 2771775 w 4505325"/>
            <a:gd name="connsiteY42" fmla="*/ 314325 h 486663"/>
            <a:gd name="connsiteX43" fmla="*/ 2857500 w 4505325"/>
            <a:gd name="connsiteY43" fmla="*/ 361950 h 486663"/>
            <a:gd name="connsiteX44" fmla="*/ 2905125 w 4505325"/>
            <a:gd name="connsiteY44" fmla="*/ 381000 h 486663"/>
            <a:gd name="connsiteX45" fmla="*/ 3000375 w 4505325"/>
            <a:gd name="connsiteY45" fmla="*/ 400050 h 486663"/>
            <a:gd name="connsiteX46" fmla="*/ 3028950 w 4505325"/>
            <a:gd name="connsiteY46" fmla="*/ 409575 h 486663"/>
            <a:gd name="connsiteX47" fmla="*/ 3114675 w 4505325"/>
            <a:gd name="connsiteY47" fmla="*/ 428625 h 486663"/>
            <a:gd name="connsiteX48" fmla="*/ 3209925 w 4505325"/>
            <a:gd name="connsiteY48" fmla="*/ 438150 h 486663"/>
            <a:gd name="connsiteX49" fmla="*/ 3362325 w 4505325"/>
            <a:gd name="connsiteY49" fmla="*/ 457200 h 486663"/>
            <a:gd name="connsiteX50" fmla="*/ 3638550 w 4505325"/>
            <a:gd name="connsiteY50" fmla="*/ 476250 h 486663"/>
            <a:gd name="connsiteX51" fmla="*/ 3781425 w 4505325"/>
            <a:gd name="connsiteY51" fmla="*/ 466725 h 486663"/>
            <a:gd name="connsiteX52" fmla="*/ 3848100 w 4505325"/>
            <a:gd name="connsiteY52" fmla="*/ 438150 h 486663"/>
            <a:gd name="connsiteX53" fmla="*/ 3924300 w 4505325"/>
            <a:gd name="connsiteY53" fmla="*/ 428625 h 486663"/>
            <a:gd name="connsiteX54" fmla="*/ 3962400 w 4505325"/>
            <a:gd name="connsiteY54" fmla="*/ 419100 h 486663"/>
            <a:gd name="connsiteX55" fmla="*/ 4038600 w 4505325"/>
            <a:gd name="connsiteY55" fmla="*/ 390525 h 486663"/>
            <a:gd name="connsiteX56" fmla="*/ 4076700 w 4505325"/>
            <a:gd name="connsiteY56" fmla="*/ 352425 h 486663"/>
            <a:gd name="connsiteX57" fmla="*/ 4114800 w 4505325"/>
            <a:gd name="connsiteY57" fmla="*/ 342900 h 486663"/>
            <a:gd name="connsiteX58" fmla="*/ 4476750 w 4505325"/>
            <a:gd name="connsiteY58" fmla="*/ 352425 h 486663"/>
            <a:gd name="connsiteX59" fmla="*/ 4505325 w 4505325"/>
            <a:gd name="connsiteY59" fmla="*/ 37147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600075 w 4476750"/>
            <a:gd name="connsiteY9" fmla="*/ 28575 h 486663"/>
            <a:gd name="connsiteX10" fmla="*/ 704850 w 4476750"/>
            <a:gd name="connsiteY10" fmla="*/ 19050 h 486663"/>
            <a:gd name="connsiteX11" fmla="*/ 790575 w 4476750"/>
            <a:gd name="connsiteY11" fmla="*/ 38100 h 486663"/>
            <a:gd name="connsiteX12" fmla="*/ 819150 w 4476750"/>
            <a:gd name="connsiteY12" fmla="*/ 47625 h 486663"/>
            <a:gd name="connsiteX13" fmla="*/ 904875 w 4476750"/>
            <a:gd name="connsiteY13" fmla="*/ 66675 h 486663"/>
            <a:gd name="connsiteX14" fmla="*/ 1028700 w 4476750"/>
            <a:gd name="connsiteY14" fmla="*/ 28575 h 486663"/>
            <a:gd name="connsiteX15" fmla="*/ 1123950 w 4476750"/>
            <a:gd name="connsiteY15" fmla="*/ 57150 h 486663"/>
            <a:gd name="connsiteX16" fmla="*/ 1143000 w 4476750"/>
            <a:gd name="connsiteY16" fmla="*/ 95250 h 486663"/>
            <a:gd name="connsiteX17" fmla="*/ 1190625 w 4476750"/>
            <a:gd name="connsiteY17" fmla="*/ 133350 h 486663"/>
            <a:gd name="connsiteX18" fmla="*/ 1228725 w 4476750"/>
            <a:gd name="connsiteY18" fmla="*/ 171450 h 486663"/>
            <a:gd name="connsiteX19" fmla="*/ 1257300 w 4476750"/>
            <a:gd name="connsiteY19" fmla="*/ 209550 h 486663"/>
            <a:gd name="connsiteX20" fmla="*/ 1333500 w 4476750"/>
            <a:gd name="connsiteY20" fmla="*/ 219075 h 486663"/>
            <a:gd name="connsiteX21" fmla="*/ 1466850 w 4476750"/>
            <a:gd name="connsiteY21" fmla="*/ 228600 h 486663"/>
            <a:gd name="connsiteX22" fmla="*/ 1590675 w 4476750"/>
            <a:gd name="connsiteY22" fmla="*/ 200025 h 486663"/>
            <a:gd name="connsiteX23" fmla="*/ 1619250 w 4476750"/>
            <a:gd name="connsiteY23" fmla="*/ 190500 h 486663"/>
            <a:gd name="connsiteX24" fmla="*/ 1657350 w 4476750"/>
            <a:gd name="connsiteY24" fmla="*/ 200025 h 486663"/>
            <a:gd name="connsiteX25" fmla="*/ 1743075 w 4476750"/>
            <a:gd name="connsiteY25" fmla="*/ 171450 h 486663"/>
            <a:gd name="connsiteX26" fmla="*/ 1819275 w 4476750"/>
            <a:gd name="connsiteY26" fmla="*/ 123825 h 486663"/>
            <a:gd name="connsiteX27" fmla="*/ 1876425 w 4476750"/>
            <a:gd name="connsiteY27" fmla="*/ 104775 h 486663"/>
            <a:gd name="connsiteX28" fmla="*/ 1924050 w 4476750"/>
            <a:gd name="connsiteY28" fmla="*/ 57150 h 486663"/>
            <a:gd name="connsiteX29" fmla="*/ 1952625 w 4476750"/>
            <a:gd name="connsiteY29" fmla="*/ 66675 h 486663"/>
            <a:gd name="connsiteX30" fmla="*/ 1981200 w 4476750"/>
            <a:gd name="connsiteY30" fmla="*/ 57150 h 486663"/>
            <a:gd name="connsiteX31" fmla="*/ 2095500 w 4476750"/>
            <a:gd name="connsiteY31" fmla="*/ 85725 h 486663"/>
            <a:gd name="connsiteX32" fmla="*/ 2152650 w 4476750"/>
            <a:gd name="connsiteY32" fmla="*/ 95250 h 486663"/>
            <a:gd name="connsiteX33" fmla="*/ 2181225 w 4476750"/>
            <a:gd name="connsiteY33" fmla="*/ 104775 h 486663"/>
            <a:gd name="connsiteX34" fmla="*/ 2333625 w 4476750"/>
            <a:gd name="connsiteY34" fmla="*/ 114300 h 486663"/>
            <a:gd name="connsiteX35" fmla="*/ 2438400 w 4476750"/>
            <a:gd name="connsiteY35" fmla="*/ 152400 h 486663"/>
            <a:gd name="connsiteX36" fmla="*/ 2486025 w 4476750"/>
            <a:gd name="connsiteY36" fmla="*/ 161925 h 486663"/>
            <a:gd name="connsiteX37" fmla="*/ 2543175 w 4476750"/>
            <a:gd name="connsiteY37" fmla="*/ 171450 h 486663"/>
            <a:gd name="connsiteX38" fmla="*/ 2638425 w 4476750"/>
            <a:gd name="connsiteY38" fmla="*/ 180975 h 486663"/>
            <a:gd name="connsiteX39" fmla="*/ 2657475 w 4476750"/>
            <a:gd name="connsiteY39" fmla="*/ 209550 h 486663"/>
            <a:gd name="connsiteX40" fmla="*/ 2714625 w 4476750"/>
            <a:gd name="connsiteY40" fmla="*/ 257175 h 486663"/>
            <a:gd name="connsiteX41" fmla="*/ 2733675 w 4476750"/>
            <a:gd name="connsiteY41" fmla="*/ 285750 h 486663"/>
            <a:gd name="connsiteX42" fmla="*/ 2771775 w 4476750"/>
            <a:gd name="connsiteY42" fmla="*/ 314325 h 486663"/>
            <a:gd name="connsiteX43" fmla="*/ 2857500 w 4476750"/>
            <a:gd name="connsiteY43" fmla="*/ 361950 h 486663"/>
            <a:gd name="connsiteX44" fmla="*/ 2905125 w 4476750"/>
            <a:gd name="connsiteY44" fmla="*/ 381000 h 486663"/>
            <a:gd name="connsiteX45" fmla="*/ 3000375 w 4476750"/>
            <a:gd name="connsiteY45" fmla="*/ 400050 h 486663"/>
            <a:gd name="connsiteX46" fmla="*/ 3028950 w 4476750"/>
            <a:gd name="connsiteY46" fmla="*/ 409575 h 486663"/>
            <a:gd name="connsiteX47" fmla="*/ 3114675 w 4476750"/>
            <a:gd name="connsiteY47" fmla="*/ 428625 h 486663"/>
            <a:gd name="connsiteX48" fmla="*/ 3209925 w 4476750"/>
            <a:gd name="connsiteY48" fmla="*/ 438150 h 486663"/>
            <a:gd name="connsiteX49" fmla="*/ 3362325 w 4476750"/>
            <a:gd name="connsiteY49" fmla="*/ 457200 h 486663"/>
            <a:gd name="connsiteX50" fmla="*/ 3638550 w 4476750"/>
            <a:gd name="connsiteY50" fmla="*/ 476250 h 486663"/>
            <a:gd name="connsiteX51" fmla="*/ 3781425 w 4476750"/>
            <a:gd name="connsiteY51" fmla="*/ 466725 h 486663"/>
            <a:gd name="connsiteX52" fmla="*/ 3848100 w 4476750"/>
            <a:gd name="connsiteY52" fmla="*/ 438150 h 486663"/>
            <a:gd name="connsiteX53" fmla="*/ 3924300 w 4476750"/>
            <a:gd name="connsiteY53" fmla="*/ 428625 h 486663"/>
            <a:gd name="connsiteX54" fmla="*/ 3962400 w 4476750"/>
            <a:gd name="connsiteY54" fmla="*/ 419100 h 486663"/>
            <a:gd name="connsiteX55" fmla="*/ 4038600 w 4476750"/>
            <a:gd name="connsiteY55" fmla="*/ 390525 h 486663"/>
            <a:gd name="connsiteX56" fmla="*/ 4076700 w 4476750"/>
            <a:gd name="connsiteY56" fmla="*/ 352425 h 486663"/>
            <a:gd name="connsiteX57" fmla="*/ 4114800 w 4476750"/>
            <a:gd name="connsiteY57" fmla="*/ 342900 h 486663"/>
            <a:gd name="connsiteX58" fmla="*/ 4476750 w 4476750"/>
            <a:gd name="connsiteY58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704850 w 4476750"/>
            <a:gd name="connsiteY9" fmla="*/ 19050 h 486663"/>
            <a:gd name="connsiteX10" fmla="*/ 790575 w 4476750"/>
            <a:gd name="connsiteY10" fmla="*/ 38100 h 486663"/>
            <a:gd name="connsiteX11" fmla="*/ 819150 w 4476750"/>
            <a:gd name="connsiteY11" fmla="*/ 47625 h 486663"/>
            <a:gd name="connsiteX12" fmla="*/ 904875 w 4476750"/>
            <a:gd name="connsiteY12" fmla="*/ 66675 h 486663"/>
            <a:gd name="connsiteX13" fmla="*/ 1028700 w 4476750"/>
            <a:gd name="connsiteY13" fmla="*/ 28575 h 486663"/>
            <a:gd name="connsiteX14" fmla="*/ 1123950 w 4476750"/>
            <a:gd name="connsiteY14" fmla="*/ 57150 h 486663"/>
            <a:gd name="connsiteX15" fmla="*/ 1143000 w 4476750"/>
            <a:gd name="connsiteY15" fmla="*/ 95250 h 486663"/>
            <a:gd name="connsiteX16" fmla="*/ 1190625 w 4476750"/>
            <a:gd name="connsiteY16" fmla="*/ 133350 h 486663"/>
            <a:gd name="connsiteX17" fmla="*/ 1228725 w 4476750"/>
            <a:gd name="connsiteY17" fmla="*/ 171450 h 486663"/>
            <a:gd name="connsiteX18" fmla="*/ 1257300 w 4476750"/>
            <a:gd name="connsiteY18" fmla="*/ 209550 h 486663"/>
            <a:gd name="connsiteX19" fmla="*/ 1333500 w 4476750"/>
            <a:gd name="connsiteY19" fmla="*/ 219075 h 486663"/>
            <a:gd name="connsiteX20" fmla="*/ 1466850 w 4476750"/>
            <a:gd name="connsiteY20" fmla="*/ 228600 h 486663"/>
            <a:gd name="connsiteX21" fmla="*/ 1590675 w 4476750"/>
            <a:gd name="connsiteY21" fmla="*/ 200025 h 486663"/>
            <a:gd name="connsiteX22" fmla="*/ 1619250 w 4476750"/>
            <a:gd name="connsiteY22" fmla="*/ 190500 h 486663"/>
            <a:gd name="connsiteX23" fmla="*/ 1657350 w 4476750"/>
            <a:gd name="connsiteY23" fmla="*/ 200025 h 486663"/>
            <a:gd name="connsiteX24" fmla="*/ 1743075 w 4476750"/>
            <a:gd name="connsiteY24" fmla="*/ 171450 h 486663"/>
            <a:gd name="connsiteX25" fmla="*/ 1819275 w 4476750"/>
            <a:gd name="connsiteY25" fmla="*/ 123825 h 486663"/>
            <a:gd name="connsiteX26" fmla="*/ 1876425 w 4476750"/>
            <a:gd name="connsiteY26" fmla="*/ 104775 h 486663"/>
            <a:gd name="connsiteX27" fmla="*/ 1924050 w 4476750"/>
            <a:gd name="connsiteY27" fmla="*/ 57150 h 486663"/>
            <a:gd name="connsiteX28" fmla="*/ 1952625 w 4476750"/>
            <a:gd name="connsiteY28" fmla="*/ 66675 h 486663"/>
            <a:gd name="connsiteX29" fmla="*/ 1981200 w 4476750"/>
            <a:gd name="connsiteY29" fmla="*/ 57150 h 486663"/>
            <a:gd name="connsiteX30" fmla="*/ 2095500 w 4476750"/>
            <a:gd name="connsiteY30" fmla="*/ 85725 h 486663"/>
            <a:gd name="connsiteX31" fmla="*/ 2152650 w 4476750"/>
            <a:gd name="connsiteY31" fmla="*/ 95250 h 486663"/>
            <a:gd name="connsiteX32" fmla="*/ 2181225 w 4476750"/>
            <a:gd name="connsiteY32" fmla="*/ 104775 h 486663"/>
            <a:gd name="connsiteX33" fmla="*/ 2333625 w 4476750"/>
            <a:gd name="connsiteY33" fmla="*/ 114300 h 486663"/>
            <a:gd name="connsiteX34" fmla="*/ 2438400 w 4476750"/>
            <a:gd name="connsiteY34" fmla="*/ 152400 h 486663"/>
            <a:gd name="connsiteX35" fmla="*/ 2486025 w 4476750"/>
            <a:gd name="connsiteY35" fmla="*/ 161925 h 486663"/>
            <a:gd name="connsiteX36" fmla="*/ 2543175 w 4476750"/>
            <a:gd name="connsiteY36" fmla="*/ 171450 h 486663"/>
            <a:gd name="connsiteX37" fmla="*/ 2638425 w 4476750"/>
            <a:gd name="connsiteY37" fmla="*/ 180975 h 486663"/>
            <a:gd name="connsiteX38" fmla="*/ 2657475 w 4476750"/>
            <a:gd name="connsiteY38" fmla="*/ 209550 h 486663"/>
            <a:gd name="connsiteX39" fmla="*/ 2714625 w 4476750"/>
            <a:gd name="connsiteY39" fmla="*/ 257175 h 486663"/>
            <a:gd name="connsiteX40" fmla="*/ 2733675 w 4476750"/>
            <a:gd name="connsiteY40" fmla="*/ 285750 h 486663"/>
            <a:gd name="connsiteX41" fmla="*/ 2771775 w 4476750"/>
            <a:gd name="connsiteY41" fmla="*/ 314325 h 486663"/>
            <a:gd name="connsiteX42" fmla="*/ 2857500 w 4476750"/>
            <a:gd name="connsiteY42" fmla="*/ 361950 h 486663"/>
            <a:gd name="connsiteX43" fmla="*/ 2905125 w 4476750"/>
            <a:gd name="connsiteY43" fmla="*/ 381000 h 486663"/>
            <a:gd name="connsiteX44" fmla="*/ 3000375 w 4476750"/>
            <a:gd name="connsiteY44" fmla="*/ 400050 h 486663"/>
            <a:gd name="connsiteX45" fmla="*/ 3028950 w 4476750"/>
            <a:gd name="connsiteY45" fmla="*/ 409575 h 486663"/>
            <a:gd name="connsiteX46" fmla="*/ 3114675 w 4476750"/>
            <a:gd name="connsiteY46" fmla="*/ 428625 h 486663"/>
            <a:gd name="connsiteX47" fmla="*/ 3209925 w 4476750"/>
            <a:gd name="connsiteY47" fmla="*/ 438150 h 486663"/>
            <a:gd name="connsiteX48" fmla="*/ 3362325 w 4476750"/>
            <a:gd name="connsiteY48" fmla="*/ 457200 h 486663"/>
            <a:gd name="connsiteX49" fmla="*/ 3638550 w 4476750"/>
            <a:gd name="connsiteY49" fmla="*/ 476250 h 486663"/>
            <a:gd name="connsiteX50" fmla="*/ 3781425 w 4476750"/>
            <a:gd name="connsiteY50" fmla="*/ 466725 h 486663"/>
            <a:gd name="connsiteX51" fmla="*/ 3848100 w 4476750"/>
            <a:gd name="connsiteY51" fmla="*/ 438150 h 486663"/>
            <a:gd name="connsiteX52" fmla="*/ 3924300 w 4476750"/>
            <a:gd name="connsiteY52" fmla="*/ 428625 h 486663"/>
            <a:gd name="connsiteX53" fmla="*/ 3962400 w 4476750"/>
            <a:gd name="connsiteY53" fmla="*/ 419100 h 486663"/>
            <a:gd name="connsiteX54" fmla="*/ 4038600 w 4476750"/>
            <a:gd name="connsiteY54" fmla="*/ 390525 h 486663"/>
            <a:gd name="connsiteX55" fmla="*/ 4076700 w 4476750"/>
            <a:gd name="connsiteY55" fmla="*/ 352425 h 486663"/>
            <a:gd name="connsiteX56" fmla="*/ 4114800 w 4476750"/>
            <a:gd name="connsiteY56" fmla="*/ 342900 h 486663"/>
            <a:gd name="connsiteX57" fmla="*/ 4476750 w 4476750"/>
            <a:gd name="connsiteY57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704850 w 4476750"/>
            <a:gd name="connsiteY8" fmla="*/ 19050 h 486663"/>
            <a:gd name="connsiteX9" fmla="*/ 790575 w 4476750"/>
            <a:gd name="connsiteY9" fmla="*/ 38100 h 486663"/>
            <a:gd name="connsiteX10" fmla="*/ 819150 w 4476750"/>
            <a:gd name="connsiteY10" fmla="*/ 47625 h 486663"/>
            <a:gd name="connsiteX11" fmla="*/ 904875 w 4476750"/>
            <a:gd name="connsiteY11" fmla="*/ 66675 h 486663"/>
            <a:gd name="connsiteX12" fmla="*/ 1028700 w 4476750"/>
            <a:gd name="connsiteY12" fmla="*/ 28575 h 486663"/>
            <a:gd name="connsiteX13" fmla="*/ 1123950 w 4476750"/>
            <a:gd name="connsiteY13" fmla="*/ 57150 h 486663"/>
            <a:gd name="connsiteX14" fmla="*/ 1143000 w 4476750"/>
            <a:gd name="connsiteY14" fmla="*/ 95250 h 486663"/>
            <a:gd name="connsiteX15" fmla="*/ 1190625 w 4476750"/>
            <a:gd name="connsiteY15" fmla="*/ 133350 h 486663"/>
            <a:gd name="connsiteX16" fmla="*/ 1228725 w 4476750"/>
            <a:gd name="connsiteY16" fmla="*/ 171450 h 486663"/>
            <a:gd name="connsiteX17" fmla="*/ 1257300 w 4476750"/>
            <a:gd name="connsiteY17" fmla="*/ 209550 h 486663"/>
            <a:gd name="connsiteX18" fmla="*/ 1333500 w 4476750"/>
            <a:gd name="connsiteY18" fmla="*/ 219075 h 486663"/>
            <a:gd name="connsiteX19" fmla="*/ 1466850 w 4476750"/>
            <a:gd name="connsiteY19" fmla="*/ 228600 h 486663"/>
            <a:gd name="connsiteX20" fmla="*/ 1590675 w 4476750"/>
            <a:gd name="connsiteY20" fmla="*/ 200025 h 486663"/>
            <a:gd name="connsiteX21" fmla="*/ 1619250 w 4476750"/>
            <a:gd name="connsiteY21" fmla="*/ 190500 h 486663"/>
            <a:gd name="connsiteX22" fmla="*/ 1657350 w 4476750"/>
            <a:gd name="connsiteY22" fmla="*/ 200025 h 486663"/>
            <a:gd name="connsiteX23" fmla="*/ 1743075 w 4476750"/>
            <a:gd name="connsiteY23" fmla="*/ 171450 h 486663"/>
            <a:gd name="connsiteX24" fmla="*/ 1819275 w 4476750"/>
            <a:gd name="connsiteY24" fmla="*/ 123825 h 486663"/>
            <a:gd name="connsiteX25" fmla="*/ 1876425 w 4476750"/>
            <a:gd name="connsiteY25" fmla="*/ 104775 h 486663"/>
            <a:gd name="connsiteX26" fmla="*/ 1924050 w 4476750"/>
            <a:gd name="connsiteY26" fmla="*/ 57150 h 486663"/>
            <a:gd name="connsiteX27" fmla="*/ 1952625 w 4476750"/>
            <a:gd name="connsiteY27" fmla="*/ 66675 h 486663"/>
            <a:gd name="connsiteX28" fmla="*/ 1981200 w 4476750"/>
            <a:gd name="connsiteY28" fmla="*/ 57150 h 486663"/>
            <a:gd name="connsiteX29" fmla="*/ 2095500 w 4476750"/>
            <a:gd name="connsiteY29" fmla="*/ 85725 h 486663"/>
            <a:gd name="connsiteX30" fmla="*/ 2152650 w 4476750"/>
            <a:gd name="connsiteY30" fmla="*/ 95250 h 486663"/>
            <a:gd name="connsiteX31" fmla="*/ 2181225 w 4476750"/>
            <a:gd name="connsiteY31" fmla="*/ 104775 h 486663"/>
            <a:gd name="connsiteX32" fmla="*/ 2333625 w 4476750"/>
            <a:gd name="connsiteY32" fmla="*/ 114300 h 486663"/>
            <a:gd name="connsiteX33" fmla="*/ 2438400 w 4476750"/>
            <a:gd name="connsiteY33" fmla="*/ 152400 h 486663"/>
            <a:gd name="connsiteX34" fmla="*/ 2486025 w 4476750"/>
            <a:gd name="connsiteY34" fmla="*/ 161925 h 486663"/>
            <a:gd name="connsiteX35" fmla="*/ 2543175 w 4476750"/>
            <a:gd name="connsiteY35" fmla="*/ 171450 h 486663"/>
            <a:gd name="connsiteX36" fmla="*/ 2638425 w 4476750"/>
            <a:gd name="connsiteY36" fmla="*/ 180975 h 486663"/>
            <a:gd name="connsiteX37" fmla="*/ 2657475 w 4476750"/>
            <a:gd name="connsiteY37" fmla="*/ 209550 h 486663"/>
            <a:gd name="connsiteX38" fmla="*/ 2714625 w 4476750"/>
            <a:gd name="connsiteY38" fmla="*/ 257175 h 486663"/>
            <a:gd name="connsiteX39" fmla="*/ 2733675 w 4476750"/>
            <a:gd name="connsiteY39" fmla="*/ 285750 h 486663"/>
            <a:gd name="connsiteX40" fmla="*/ 2771775 w 4476750"/>
            <a:gd name="connsiteY40" fmla="*/ 314325 h 486663"/>
            <a:gd name="connsiteX41" fmla="*/ 2857500 w 4476750"/>
            <a:gd name="connsiteY41" fmla="*/ 361950 h 486663"/>
            <a:gd name="connsiteX42" fmla="*/ 2905125 w 4476750"/>
            <a:gd name="connsiteY42" fmla="*/ 381000 h 486663"/>
            <a:gd name="connsiteX43" fmla="*/ 3000375 w 4476750"/>
            <a:gd name="connsiteY43" fmla="*/ 400050 h 486663"/>
            <a:gd name="connsiteX44" fmla="*/ 3028950 w 4476750"/>
            <a:gd name="connsiteY44" fmla="*/ 409575 h 486663"/>
            <a:gd name="connsiteX45" fmla="*/ 3114675 w 4476750"/>
            <a:gd name="connsiteY45" fmla="*/ 428625 h 486663"/>
            <a:gd name="connsiteX46" fmla="*/ 3209925 w 4476750"/>
            <a:gd name="connsiteY46" fmla="*/ 438150 h 486663"/>
            <a:gd name="connsiteX47" fmla="*/ 3362325 w 4476750"/>
            <a:gd name="connsiteY47" fmla="*/ 457200 h 486663"/>
            <a:gd name="connsiteX48" fmla="*/ 3638550 w 4476750"/>
            <a:gd name="connsiteY48" fmla="*/ 476250 h 486663"/>
            <a:gd name="connsiteX49" fmla="*/ 3781425 w 4476750"/>
            <a:gd name="connsiteY49" fmla="*/ 466725 h 486663"/>
            <a:gd name="connsiteX50" fmla="*/ 3848100 w 4476750"/>
            <a:gd name="connsiteY50" fmla="*/ 438150 h 486663"/>
            <a:gd name="connsiteX51" fmla="*/ 3924300 w 4476750"/>
            <a:gd name="connsiteY51" fmla="*/ 428625 h 486663"/>
            <a:gd name="connsiteX52" fmla="*/ 3962400 w 4476750"/>
            <a:gd name="connsiteY52" fmla="*/ 419100 h 486663"/>
            <a:gd name="connsiteX53" fmla="*/ 4038600 w 4476750"/>
            <a:gd name="connsiteY53" fmla="*/ 390525 h 486663"/>
            <a:gd name="connsiteX54" fmla="*/ 4076700 w 4476750"/>
            <a:gd name="connsiteY54" fmla="*/ 352425 h 486663"/>
            <a:gd name="connsiteX55" fmla="*/ 4114800 w 4476750"/>
            <a:gd name="connsiteY55" fmla="*/ 342900 h 486663"/>
            <a:gd name="connsiteX56" fmla="*/ 4476750 w 4476750"/>
            <a:gd name="connsiteY56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704850 w 4476750"/>
            <a:gd name="connsiteY7" fmla="*/ 19050 h 486663"/>
            <a:gd name="connsiteX8" fmla="*/ 790575 w 4476750"/>
            <a:gd name="connsiteY8" fmla="*/ 38100 h 486663"/>
            <a:gd name="connsiteX9" fmla="*/ 819150 w 4476750"/>
            <a:gd name="connsiteY9" fmla="*/ 47625 h 486663"/>
            <a:gd name="connsiteX10" fmla="*/ 904875 w 4476750"/>
            <a:gd name="connsiteY10" fmla="*/ 66675 h 486663"/>
            <a:gd name="connsiteX11" fmla="*/ 1028700 w 4476750"/>
            <a:gd name="connsiteY11" fmla="*/ 28575 h 486663"/>
            <a:gd name="connsiteX12" fmla="*/ 1123950 w 4476750"/>
            <a:gd name="connsiteY12" fmla="*/ 57150 h 486663"/>
            <a:gd name="connsiteX13" fmla="*/ 1143000 w 4476750"/>
            <a:gd name="connsiteY13" fmla="*/ 95250 h 486663"/>
            <a:gd name="connsiteX14" fmla="*/ 1190625 w 4476750"/>
            <a:gd name="connsiteY14" fmla="*/ 133350 h 486663"/>
            <a:gd name="connsiteX15" fmla="*/ 1228725 w 4476750"/>
            <a:gd name="connsiteY15" fmla="*/ 171450 h 486663"/>
            <a:gd name="connsiteX16" fmla="*/ 1257300 w 4476750"/>
            <a:gd name="connsiteY16" fmla="*/ 209550 h 486663"/>
            <a:gd name="connsiteX17" fmla="*/ 1333500 w 4476750"/>
            <a:gd name="connsiteY17" fmla="*/ 219075 h 486663"/>
            <a:gd name="connsiteX18" fmla="*/ 1466850 w 4476750"/>
            <a:gd name="connsiteY18" fmla="*/ 228600 h 486663"/>
            <a:gd name="connsiteX19" fmla="*/ 1590675 w 4476750"/>
            <a:gd name="connsiteY19" fmla="*/ 200025 h 486663"/>
            <a:gd name="connsiteX20" fmla="*/ 1619250 w 4476750"/>
            <a:gd name="connsiteY20" fmla="*/ 190500 h 486663"/>
            <a:gd name="connsiteX21" fmla="*/ 1657350 w 4476750"/>
            <a:gd name="connsiteY21" fmla="*/ 200025 h 486663"/>
            <a:gd name="connsiteX22" fmla="*/ 1743075 w 4476750"/>
            <a:gd name="connsiteY22" fmla="*/ 171450 h 486663"/>
            <a:gd name="connsiteX23" fmla="*/ 1819275 w 4476750"/>
            <a:gd name="connsiteY23" fmla="*/ 123825 h 486663"/>
            <a:gd name="connsiteX24" fmla="*/ 1876425 w 4476750"/>
            <a:gd name="connsiteY24" fmla="*/ 104775 h 486663"/>
            <a:gd name="connsiteX25" fmla="*/ 1924050 w 4476750"/>
            <a:gd name="connsiteY25" fmla="*/ 57150 h 486663"/>
            <a:gd name="connsiteX26" fmla="*/ 1952625 w 4476750"/>
            <a:gd name="connsiteY26" fmla="*/ 66675 h 486663"/>
            <a:gd name="connsiteX27" fmla="*/ 1981200 w 4476750"/>
            <a:gd name="connsiteY27" fmla="*/ 57150 h 486663"/>
            <a:gd name="connsiteX28" fmla="*/ 2095500 w 4476750"/>
            <a:gd name="connsiteY28" fmla="*/ 85725 h 486663"/>
            <a:gd name="connsiteX29" fmla="*/ 2152650 w 4476750"/>
            <a:gd name="connsiteY29" fmla="*/ 95250 h 486663"/>
            <a:gd name="connsiteX30" fmla="*/ 2181225 w 4476750"/>
            <a:gd name="connsiteY30" fmla="*/ 104775 h 486663"/>
            <a:gd name="connsiteX31" fmla="*/ 2333625 w 4476750"/>
            <a:gd name="connsiteY31" fmla="*/ 114300 h 486663"/>
            <a:gd name="connsiteX32" fmla="*/ 2438400 w 4476750"/>
            <a:gd name="connsiteY32" fmla="*/ 152400 h 486663"/>
            <a:gd name="connsiteX33" fmla="*/ 2486025 w 4476750"/>
            <a:gd name="connsiteY33" fmla="*/ 161925 h 486663"/>
            <a:gd name="connsiteX34" fmla="*/ 2543175 w 4476750"/>
            <a:gd name="connsiteY34" fmla="*/ 171450 h 486663"/>
            <a:gd name="connsiteX35" fmla="*/ 2638425 w 4476750"/>
            <a:gd name="connsiteY35" fmla="*/ 180975 h 486663"/>
            <a:gd name="connsiteX36" fmla="*/ 2657475 w 4476750"/>
            <a:gd name="connsiteY36" fmla="*/ 209550 h 486663"/>
            <a:gd name="connsiteX37" fmla="*/ 2714625 w 4476750"/>
            <a:gd name="connsiteY37" fmla="*/ 257175 h 486663"/>
            <a:gd name="connsiteX38" fmla="*/ 2733675 w 4476750"/>
            <a:gd name="connsiteY38" fmla="*/ 285750 h 486663"/>
            <a:gd name="connsiteX39" fmla="*/ 2771775 w 4476750"/>
            <a:gd name="connsiteY39" fmla="*/ 314325 h 486663"/>
            <a:gd name="connsiteX40" fmla="*/ 2857500 w 4476750"/>
            <a:gd name="connsiteY40" fmla="*/ 361950 h 486663"/>
            <a:gd name="connsiteX41" fmla="*/ 2905125 w 4476750"/>
            <a:gd name="connsiteY41" fmla="*/ 381000 h 486663"/>
            <a:gd name="connsiteX42" fmla="*/ 3000375 w 4476750"/>
            <a:gd name="connsiteY42" fmla="*/ 400050 h 486663"/>
            <a:gd name="connsiteX43" fmla="*/ 3028950 w 4476750"/>
            <a:gd name="connsiteY43" fmla="*/ 409575 h 486663"/>
            <a:gd name="connsiteX44" fmla="*/ 3114675 w 4476750"/>
            <a:gd name="connsiteY44" fmla="*/ 428625 h 486663"/>
            <a:gd name="connsiteX45" fmla="*/ 3209925 w 4476750"/>
            <a:gd name="connsiteY45" fmla="*/ 438150 h 486663"/>
            <a:gd name="connsiteX46" fmla="*/ 3362325 w 4476750"/>
            <a:gd name="connsiteY46" fmla="*/ 457200 h 486663"/>
            <a:gd name="connsiteX47" fmla="*/ 3638550 w 4476750"/>
            <a:gd name="connsiteY47" fmla="*/ 476250 h 486663"/>
            <a:gd name="connsiteX48" fmla="*/ 3781425 w 4476750"/>
            <a:gd name="connsiteY48" fmla="*/ 466725 h 486663"/>
            <a:gd name="connsiteX49" fmla="*/ 3848100 w 4476750"/>
            <a:gd name="connsiteY49" fmla="*/ 438150 h 486663"/>
            <a:gd name="connsiteX50" fmla="*/ 3924300 w 4476750"/>
            <a:gd name="connsiteY50" fmla="*/ 428625 h 486663"/>
            <a:gd name="connsiteX51" fmla="*/ 3962400 w 4476750"/>
            <a:gd name="connsiteY51" fmla="*/ 419100 h 486663"/>
            <a:gd name="connsiteX52" fmla="*/ 4038600 w 4476750"/>
            <a:gd name="connsiteY52" fmla="*/ 390525 h 486663"/>
            <a:gd name="connsiteX53" fmla="*/ 4076700 w 4476750"/>
            <a:gd name="connsiteY53" fmla="*/ 352425 h 486663"/>
            <a:gd name="connsiteX54" fmla="*/ 4114800 w 4476750"/>
            <a:gd name="connsiteY54" fmla="*/ 342900 h 486663"/>
            <a:gd name="connsiteX55" fmla="*/ 4476750 w 4476750"/>
            <a:gd name="connsiteY55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704850 w 4476750"/>
            <a:gd name="connsiteY6" fmla="*/ 19050 h 486663"/>
            <a:gd name="connsiteX7" fmla="*/ 790575 w 4476750"/>
            <a:gd name="connsiteY7" fmla="*/ 38100 h 486663"/>
            <a:gd name="connsiteX8" fmla="*/ 819150 w 4476750"/>
            <a:gd name="connsiteY8" fmla="*/ 47625 h 486663"/>
            <a:gd name="connsiteX9" fmla="*/ 904875 w 4476750"/>
            <a:gd name="connsiteY9" fmla="*/ 66675 h 486663"/>
            <a:gd name="connsiteX10" fmla="*/ 1028700 w 4476750"/>
            <a:gd name="connsiteY10" fmla="*/ 28575 h 486663"/>
            <a:gd name="connsiteX11" fmla="*/ 1123950 w 4476750"/>
            <a:gd name="connsiteY11" fmla="*/ 57150 h 486663"/>
            <a:gd name="connsiteX12" fmla="*/ 1143000 w 4476750"/>
            <a:gd name="connsiteY12" fmla="*/ 95250 h 486663"/>
            <a:gd name="connsiteX13" fmla="*/ 1190625 w 4476750"/>
            <a:gd name="connsiteY13" fmla="*/ 133350 h 486663"/>
            <a:gd name="connsiteX14" fmla="*/ 1228725 w 4476750"/>
            <a:gd name="connsiteY14" fmla="*/ 171450 h 486663"/>
            <a:gd name="connsiteX15" fmla="*/ 1257300 w 4476750"/>
            <a:gd name="connsiteY15" fmla="*/ 209550 h 486663"/>
            <a:gd name="connsiteX16" fmla="*/ 1333500 w 4476750"/>
            <a:gd name="connsiteY16" fmla="*/ 219075 h 486663"/>
            <a:gd name="connsiteX17" fmla="*/ 1466850 w 4476750"/>
            <a:gd name="connsiteY17" fmla="*/ 228600 h 486663"/>
            <a:gd name="connsiteX18" fmla="*/ 1590675 w 4476750"/>
            <a:gd name="connsiteY18" fmla="*/ 200025 h 486663"/>
            <a:gd name="connsiteX19" fmla="*/ 1619250 w 4476750"/>
            <a:gd name="connsiteY19" fmla="*/ 190500 h 486663"/>
            <a:gd name="connsiteX20" fmla="*/ 1657350 w 4476750"/>
            <a:gd name="connsiteY20" fmla="*/ 200025 h 486663"/>
            <a:gd name="connsiteX21" fmla="*/ 1743075 w 4476750"/>
            <a:gd name="connsiteY21" fmla="*/ 171450 h 486663"/>
            <a:gd name="connsiteX22" fmla="*/ 1819275 w 4476750"/>
            <a:gd name="connsiteY22" fmla="*/ 123825 h 486663"/>
            <a:gd name="connsiteX23" fmla="*/ 1876425 w 4476750"/>
            <a:gd name="connsiteY23" fmla="*/ 104775 h 486663"/>
            <a:gd name="connsiteX24" fmla="*/ 1924050 w 4476750"/>
            <a:gd name="connsiteY24" fmla="*/ 57150 h 486663"/>
            <a:gd name="connsiteX25" fmla="*/ 1952625 w 4476750"/>
            <a:gd name="connsiteY25" fmla="*/ 66675 h 486663"/>
            <a:gd name="connsiteX26" fmla="*/ 1981200 w 4476750"/>
            <a:gd name="connsiteY26" fmla="*/ 57150 h 486663"/>
            <a:gd name="connsiteX27" fmla="*/ 2095500 w 4476750"/>
            <a:gd name="connsiteY27" fmla="*/ 85725 h 486663"/>
            <a:gd name="connsiteX28" fmla="*/ 2152650 w 4476750"/>
            <a:gd name="connsiteY28" fmla="*/ 95250 h 486663"/>
            <a:gd name="connsiteX29" fmla="*/ 2181225 w 4476750"/>
            <a:gd name="connsiteY29" fmla="*/ 104775 h 486663"/>
            <a:gd name="connsiteX30" fmla="*/ 2333625 w 4476750"/>
            <a:gd name="connsiteY30" fmla="*/ 114300 h 486663"/>
            <a:gd name="connsiteX31" fmla="*/ 2438400 w 4476750"/>
            <a:gd name="connsiteY31" fmla="*/ 152400 h 486663"/>
            <a:gd name="connsiteX32" fmla="*/ 2486025 w 4476750"/>
            <a:gd name="connsiteY32" fmla="*/ 161925 h 486663"/>
            <a:gd name="connsiteX33" fmla="*/ 2543175 w 4476750"/>
            <a:gd name="connsiteY33" fmla="*/ 171450 h 486663"/>
            <a:gd name="connsiteX34" fmla="*/ 2638425 w 4476750"/>
            <a:gd name="connsiteY34" fmla="*/ 180975 h 486663"/>
            <a:gd name="connsiteX35" fmla="*/ 2657475 w 4476750"/>
            <a:gd name="connsiteY35" fmla="*/ 209550 h 486663"/>
            <a:gd name="connsiteX36" fmla="*/ 2714625 w 4476750"/>
            <a:gd name="connsiteY36" fmla="*/ 257175 h 486663"/>
            <a:gd name="connsiteX37" fmla="*/ 2733675 w 4476750"/>
            <a:gd name="connsiteY37" fmla="*/ 285750 h 486663"/>
            <a:gd name="connsiteX38" fmla="*/ 2771775 w 4476750"/>
            <a:gd name="connsiteY38" fmla="*/ 314325 h 486663"/>
            <a:gd name="connsiteX39" fmla="*/ 2857500 w 4476750"/>
            <a:gd name="connsiteY39" fmla="*/ 361950 h 486663"/>
            <a:gd name="connsiteX40" fmla="*/ 2905125 w 4476750"/>
            <a:gd name="connsiteY40" fmla="*/ 381000 h 486663"/>
            <a:gd name="connsiteX41" fmla="*/ 3000375 w 4476750"/>
            <a:gd name="connsiteY41" fmla="*/ 400050 h 486663"/>
            <a:gd name="connsiteX42" fmla="*/ 3028950 w 4476750"/>
            <a:gd name="connsiteY42" fmla="*/ 409575 h 486663"/>
            <a:gd name="connsiteX43" fmla="*/ 3114675 w 4476750"/>
            <a:gd name="connsiteY43" fmla="*/ 428625 h 486663"/>
            <a:gd name="connsiteX44" fmla="*/ 3209925 w 4476750"/>
            <a:gd name="connsiteY44" fmla="*/ 438150 h 486663"/>
            <a:gd name="connsiteX45" fmla="*/ 3362325 w 4476750"/>
            <a:gd name="connsiteY45" fmla="*/ 457200 h 486663"/>
            <a:gd name="connsiteX46" fmla="*/ 3638550 w 4476750"/>
            <a:gd name="connsiteY46" fmla="*/ 476250 h 486663"/>
            <a:gd name="connsiteX47" fmla="*/ 3781425 w 4476750"/>
            <a:gd name="connsiteY47" fmla="*/ 466725 h 486663"/>
            <a:gd name="connsiteX48" fmla="*/ 3848100 w 4476750"/>
            <a:gd name="connsiteY48" fmla="*/ 438150 h 486663"/>
            <a:gd name="connsiteX49" fmla="*/ 3924300 w 4476750"/>
            <a:gd name="connsiteY49" fmla="*/ 428625 h 486663"/>
            <a:gd name="connsiteX50" fmla="*/ 3962400 w 4476750"/>
            <a:gd name="connsiteY50" fmla="*/ 419100 h 486663"/>
            <a:gd name="connsiteX51" fmla="*/ 4038600 w 4476750"/>
            <a:gd name="connsiteY51" fmla="*/ 390525 h 486663"/>
            <a:gd name="connsiteX52" fmla="*/ 4076700 w 4476750"/>
            <a:gd name="connsiteY52" fmla="*/ 352425 h 486663"/>
            <a:gd name="connsiteX53" fmla="*/ 4114800 w 4476750"/>
            <a:gd name="connsiteY53" fmla="*/ 342900 h 486663"/>
            <a:gd name="connsiteX54" fmla="*/ 4476750 w 4476750"/>
            <a:gd name="connsiteY54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704850 w 4476750"/>
            <a:gd name="connsiteY5" fmla="*/ 19050 h 486663"/>
            <a:gd name="connsiteX6" fmla="*/ 790575 w 4476750"/>
            <a:gd name="connsiteY6" fmla="*/ 38100 h 486663"/>
            <a:gd name="connsiteX7" fmla="*/ 819150 w 4476750"/>
            <a:gd name="connsiteY7" fmla="*/ 47625 h 486663"/>
            <a:gd name="connsiteX8" fmla="*/ 904875 w 4476750"/>
            <a:gd name="connsiteY8" fmla="*/ 66675 h 486663"/>
            <a:gd name="connsiteX9" fmla="*/ 1028700 w 4476750"/>
            <a:gd name="connsiteY9" fmla="*/ 28575 h 486663"/>
            <a:gd name="connsiteX10" fmla="*/ 1123950 w 4476750"/>
            <a:gd name="connsiteY10" fmla="*/ 57150 h 486663"/>
            <a:gd name="connsiteX11" fmla="*/ 1143000 w 4476750"/>
            <a:gd name="connsiteY11" fmla="*/ 95250 h 486663"/>
            <a:gd name="connsiteX12" fmla="*/ 1190625 w 4476750"/>
            <a:gd name="connsiteY12" fmla="*/ 133350 h 486663"/>
            <a:gd name="connsiteX13" fmla="*/ 1228725 w 4476750"/>
            <a:gd name="connsiteY13" fmla="*/ 171450 h 486663"/>
            <a:gd name="connsiteX14" fmla="*/ 1257300 w 4476750"/>
            <a:gd name="connsiteY14" fmla="*/ 209550 h 486663"/>
            <a:gd name="connsiteX15" fmla="*/ 1333500 w 4476750"/>
            <a:gd name="connsiteY15" fmla="*/ 219075 h 486663"/>
            <a:gd name="connsiteX16" fmla="*/ 1466850 w 4476750"/>
            <a:gd name="connsiteY16" fmla="*/ 228600 h 486663"/>
            <a:gd name="connsiteX17" fmla="*/ 1590675 w 4476750"/>
            <a:gd name="connsiteY17" fmla="*/ 200025 h 486663"/>
            <a:gd name="connsiteX18" fmla="*/ 1619250 w 4476750"/>
            <a:gd name="connsiteY18" fmla="*/ 190500 h 486663"/>
            <a:gd name="connsiteX19" fmla="*/ 1657350 w 4476750"/>
            <a:gd name="connsiteY19" fmla="*/ 200025 h 486663"/>
            <a:gd name="connsiteX20" fmla="*/ 1743075 w 4476750"/>
            <a:gd name="connsiteY20" fmla="*/ 171450 h 486663"/>
            <a:gd name="connsiteX21" fmla="*/ 1819275 w 4476750"/>
            <a:gd name="connsiteY21" fmla="*/ 123825 h 486663"/>
            <a:gd name="connsiteX22" fmla="*/ 1876425 w 4476750"/>
            <a:gd name="connsiteY22" fmla="*/ 104775 h 486663"/>
            <a:gd name="connsiteX23" fmla="*/ 1924050 w 4476750"/>
            <a:gd name="connsiteY23" fmla="*/ 57150 h 486663"/>
            <a:gd name="connsiteX24" fmla="*/ 1952625 w 4476750"/>
            <a:gd name="connsiteY24" fmla="*/ 66675 h 486663"/>
            <a:gd name="connsiteX25" fmla="*/ 1981200 w 4476750"/>
            <a:gd name="connsiteY25" fmla="*/ 57150 h 486663"/>
            <a:gd name="connsiteX26" fmla="*/ 2095500 w 4476750"/>
            <a:gd name="connsiteY26" fmla="*/ 85725 h 486663"/>
            <a:gd name="connsiteX27" fmla="*/ 2152650 w 4476750"/>
            <a:gd name="connsiteY27" fmla="*/ 95250 h 486663"/>
            <a:gd name="connsiteX28" fmla="*/ 2181225 w 4476750"/>
            <a:gd name="connsiteY28" fmla="*/ 104775 h 486663"/>
            <a:gd name="connsiteX29" fmla="*/ 2333625 w 4476750"/>
            <a:gd name="connsiteY29" fmla="*/ 114300 h 486663"/>
            <a:gd name="connsiteX30" fmla="*/ 2438400 w 4476750"/>
            <a:gd name="connsiteY30" fmla="*/ 152400 h 486663"/>
            <a:gd name="connsiteX31" fmla="*/ 2486025 w 4476750"/>
            <a:gd name="connsiteY31" fmla="*/ 161925 h 486663"/>
            <a:gd name="connsiteX32" fmla="*/ 2543175 w 4476750"/>
            <a:gd name="connsiteY32" fmla="*/ 171450 h 486663"/>
            <a:gd name="connsiteX33" fmla="*/ 2638425 w 4476750"/>
            <a:gd name="connsiteY33" fmla="*/ 180975 h 486663"/>
            <a:gd name="connsiteX34" fmla="*/ 2657475 w 4476750"/>
            <a:gd name="connsiteY34" fmla="*/ 209550 h 486663"/>
            <a:gd name="connsiteX35" fmla="*/ 2714625 w 4476750"/>
            <a:gd name="connsiteY35" fmla="*/ 257175 h 486663"/>
            <a:gd name="connsiteX36" fmla="*/ 2733675 w 4476750"/>
            <a:gd name="connsiteY36" fmla="*/ 285750 h 486663"/>
            <a:gd name="connsiteX37" fmla="*/ 2771775 w 4476750"/>
            <a:gd name="connsiteY37" fmla="*/ 314325 h 486663"/>
            <a:gd name="connsiteX38" fmla="*/ 2857500 w 4476750"/>
            <a:gd name="connsiteY38" fmla="*/ 361950 h 486663"/>
            <a:gd name="connsiteX39" fmla="*/ 2905125 w 4476750"/>
            <a:gd name="connsiteY39" fmla="*/ 381000 h 486663"/>
            <a:gd name="connsiteX40" fmla="*/ 3000375 w 4476750"/>
            <a:gd name="connsiteY40" fmla="*/ 400050 h 486663"/>
            <a:gd name="connsiteX41" fmla="*/ 3028950 w 4476750"/>
            <a:gd name="connsiteY41" fmla="*/ 409575 h 486663"/>
            <a:gd name="connsiteX42" fmla="*/ 3114675 w 4476750"/>
            <a:gd name="connsiteY42" fmla="*/ 428625 h 486663"/>
            <a:gd name="connsiteX43" fmla="*/ 3209925 w 4476750"/>
            <a:gd name="connsiteY43" fmla="*/ 438150 h 486663"/>
            <a:gd name="connsiteX44" fmla="*/ 3362325 w 4476750"/>
            <a:gd name="connsiteY44" fmla="*/ 457200 h 486663"/>
            <a:gd name="connsiteX45" fmla="*/ 3638550 w 4476750"/>
            <a:gd name="connsiteY45" fmla="*/ 476250 h 486663"/>
            <a:gd name="connsiteX46" fmla="*/ 3781425 w 4476750"/>
            <a:gd name="connsiteY46" fmla="*/ 466725 h 486663"/>
            <a:gd name="connsiteX47" fmla="*/ 3848100 w 4476750"/>
            <a:gd name="connsiteY47" fmla="*/ 438150 h 486663"/>
            <a:gd name="connsiteX48" fmla="*/ 3924300 w 4476750"/>
            <a:gd name="connsiteY48" fmla="*/ 428625 h 486663"/>
            <a:gd name="connsiteX49" fmla="*/ 3962400 w 4476750"/>
            <a:gd name="connsiteY49" fmla="*/ 419100 h 486663"/>
            <a:gd name="connsiteX50" fmla="*/ 4038600 w 4476750"/>
            <a:gd name="connsiteY50" fmla="*/ 390525 h 486663"/>
            <a:gd name="connsiteX51" fmla="*/ 4076700 w 4476750"/>
            <a:gd name="connsiteY51" fmla="*/ 352425 h 486663"/>
            <a:gd name="connsiteX52" fmla="*/ 4114800 w 4476750"/>
            <a:gd name="connsiteY52" fmla="*/ 342900 h 486663"/>
            <a:gd name="connsiteX53" fmla="*/ 4476750 w 4476750"/>
            <a:gd name="connsiteY53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704850 w 4476750"/>
            <a:gd name="connsiteY4" fmla="*/ 19050 h 486663"/>
            <a:gd name="connsiteX5" fmla="*/ 790575 w 4476750"/>
            <a:gd name="connsiteY5" fmla="*/ 38100 h 486663"/>
            <a:gd name="connsiteX6" fmla="*/ 819150 w 4476750"/>
            <a:gd name="connsiteY6" fmla="*/ 47625 h 486663"/>
            <a:gd name="connsiteX7" fmla="*/ 904875 w 4476750"/>
            <a:gd name="connsiteY7" fmla="*/ 66675 h 486663"/>
            <a:gd name="connsiteX8" fmla="*/ 1028700 w 4476750"/>
            <a:gd name="connsiteY8" fmla="*/ 28575 h 486663"/>
            <a:gd name="connsiteX9" fmla="*/ 1123950 w 4476750"/>
            <a:gd name="connsiteY9" fmla="*/ 57150 h 486663"/>
            <a:gd name="connsiteX10" fmla="*/ 1143000 w 4476750"/>
            <a:gd name="connsiteY10" fmla="*/ 95250 h 486663"/>
            <a:gd name="connsiteX11" fmla="*/ 1190625 w 4476750"/>
            <a:gd name="connsiteY11" fmla="*/ 133350 h 486663"/>
            <a:gd name="connsiteX12" fmla="*/ 1228725 w 4476750"/>
            <a:gd name="connsiteY12" fmla="*/ 171450 h 486663"/>
            <a:gd name="connsiteX13" fmla="*/ 1257300 w 4476750"/>
            <a:gd name="connsiteY13" fmla="*/ 209550 h 486663"/>
            <a:gd name="connsiteX14" fmla="*/ 1333500 w 4476750"/>
            <a:gd name="connsiteY14" fmla="*/ 219075 h 486663"/>
            <a:gd name="connsiteX15" fmla="*/ 1466850 w 4476750"/>
            <a:gd name="connsiteY15" fmla="*/ 228600 h 486663"/>
            <a:gd name="connsiteX16" fmla="*/ 1590675 w 4476750"/>
            <a:gd name="connsiteY16" fmla="*/ 200025 h 486663"/>
            <a:gd name="connsiteX17" fmla="*/ 1619250 w 4476750"/>
            <a:gd name="connsiteY17" fmla="*/ 190500 h 486663"/>
            <a:gd name="connsiteX18" fmla="*/ 1657350 w 4476750"/>
            <a:gd name="connsiteY18" fmla="*/ 200025 h 486663"/>
            <a:gd name="connsiteX19" fmla="*/ 1743075 w 4476750"/>
            <a:gd name="connsiteY19" fmla="*/ 171450 h 486663"/>
            <a:gd name="connsiteX20" fmla="*/ 1819275 w 4476750"/>
            <a:gd name="connsiteY20" fmla="*/ 123825 h 486663"/>
            <a:gd name="connsiteX21" fmla="*/ 1876425 w 4476750"/>
            <a:gd name="connsiteY21" fmla="*/ 104775 h 486663"/>
            <a:gd name="connsiteX22" fmla="*/ 1924050 w 4476750"/>
            <a:gd name="connsiteY22" fmla="*/ 57150 h 486663"/>
            <a:gd name="connsiteX23" fmla="*/ 1952625 w 4476750"/>
            <a:gd name="connsiteY23" fmla="*/ 66675 h 486663"/>
            <a:gd name="connsiteX24" fmla="*/ 1981200 w 4476750"/>
            <a:gd name="connsiteY24" fmla="*/ 57150 h 486663"/>
            <a:gd name="connsiteX25" fmla="*/ 2095500 w 4476750"/>
            <a:gd name="connsiteY25" fmla="*/ 85725 h 486663"/>
            <a:gd name="connsiteX26" fmla="*/ 2152650 w 4476750"/>
            <a:gd name="connsiteY26" fmla="*/ 95250 h 486663"/>
            <a:gd name="connsiteX27" fmla="*/ 2181225 w 4476750"/>
            <a:gd name="connsiteY27" fmla="*/ 104775 h 486663"/>
            <a:gd name="connsiteX28" fmla="*/ 2333625 w 4476750"/>
            <a:gd name="connsiteY28" fmla="*/ 114300 h 486663"/>
            <a:gd name="connsiteX29" fmla="*/ 2438400 w 4476750"/>
            <a:gd name="connsiteY29" fmla="*/ 152400 h 486663"/>
            <a:gd name="connsiteX30" fmla="*/ 2486025 w 4476750"/>
            <a:gd name="connsiteY30" fmla="*/ 161925 h 486663"/>
            <a:gd name="connsiteX31" fmla="*/ 2543175 w 4476750"/>
            <a:gd name="connsiteY31" fmla="*/ 171450 h 486663"/>
            <a:gd name="connsiteX32" fmla="*/ 2638425 w 4476750"/>
            <a:gd name="connsiteY32" fmla="*/ 180975 h 486663"/>
            <a:gd name="connsiteX33" fmla="*/ 2657475 w 4476750"/>
            <a:gd name="connsiteY33" fmla="*/ 209550 h 486663"/>
            <a:gd name="connsiteX34" fmla="*/ 2714625 w 4476750"/>
            <a:gd name="connsiteY34" fmla="*/ 257175 h 486663"/>
            <a:gd name="connsiteX35" fmla="*/ 2733675 w 4476750"/>
            <a:gd name="connsiteY35" fmla="*/ 285750 h 486663"/>
            <a:gd name="connsiteX36" fmla="*/ 2771775 w 4476750"/>
            <a:gd name="connsiteY36" fmla="*/ 314325 h 486663"/>
            <a:gd name="connsiteX37" fmla="*/ 2857500 w 4476750"/>
            <a:gd name="connsiteY37" fmla="*/ 361950 h 486663"/>
            <a:gd name="connsiteX38" fmla="*/ 2905125 w 4476750"/>
            <a:gd name="connsiteY38" fmla="*/ 381000 h 486663"/>
            <a:gd name="connsiteX39" fmla="*/ 3000375 w 4476750"/>
            <a:gd name="connsiteY39" fmla="*/ 400050 h 486663"/>
            <a:gd name="connsiteX40" fmla="*/ 3028950 w 4476750"/>
            <a:gd name="connsiteY40" fmla="*/ 409575 h 486663"/>
            <a:gd name="connsiteX41" fmla="*/ 3114675 w 4476750"/>
            <a:gd name="connsiteY41" fmla="*/ 428625 h 486663"/>
            <a:gd name="connsiteX42" fmla="*/ 3209925 w 4476750"/>
            <a:gd name="connsiteY42" fmla="*/ 438150 h 486663"/>
            <a:gd name="connsiteX43" fmla="*/ 3362325 w 4476750"/>
            <a:gd name="connsiteY43" fmla="*/ 457200 h 486663"/>
            <a:gd name="connsiteX44" fmla="*/ 3638550 w 4476750"/>
            <a:gd name="connsiteY44" fmla="*/ 476250 h 486663"/>
            <a:gd name="connsiteX45" fmla="*/ 3781425 w 4476750"/>
            <a:gd name="connsiteY45" fmla="*/ 466725 h 486663"/>
            <a:gd name="connsiteX46" fmla="*/ 3848100 w 4476750"/>
            <a:gd name="connsiteY46" fmla="*/ 438150 h 486663"/>
            <a:gd name="connsiteX47" fmla="*/ 3924300 w 4476750"/>
            <a:gd name="connsiteY47" fmla="*/ 428625 h 486663"/>
            <a:gd name="connsiteX48" fmla="*/ 3962400 w 4476750"/>
            <a:gd name="connsiteY48" fmla="*/ 419100 h 486663"/>
            <a:gd name="connsiteX49" fmla="*/ 4038600 w 4476750"/>
            <a:gd name="connsiteY49" fmla="*/ 390525 h 486663"/>
            <a:gd name="connsiteX50" fmla="*/ 4076700 w 4476750"/>
            <a:gd name="connsiteY50" fmla="*/ 352425 h 486663"/>
            <a:gd name="connsiteX51" fmla="*/ 4114800 w 4476750"/>
            <a:gd name="connsiteY51" fmla="*/ 342900 h 486663"/>
            <a:gd name="connsiteX52" fmla="*/ 4476750 w 4476750"/>
            <a:gd name="connsiteY52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304800 w 4476750"/>
            <a:gd name="connsiteY2" fmla="*/ 38100 h 486663"/>
            <a:gd name="connsiteX3" fmla="*/ 704850 w 4476750"/>
            <a:gd name="connsiteY3" fmla="*/ 19050 h 486663"/>
            <a:gd name="connsiteX4" fmla="*/ 790575 w 4476750"/>
            <a:gd name="connsiteY4" fmla="*/ 38100 h 486663"/>
            <a:gd name="connsiteX5" fmla="*/ 819150 w 4476750"/>
            <a:gd name="connsiteY5" fmla="*/ 47625 h 486663"/>
            <a:gd name="connsiteX6" fmla="*/ 904875 w 4476750"/>
            <a:gd name="connsiteY6" fmla="*/ 66675 h 486663"/>
            <a:gd name="connsiteX7" fmla="*/ 1028700 w 4476750"/>
            <a:gd name="connsiteY7" fmla="*/ 28575 h 486663"/>
            <a:gd name="connsiteX8" fmla="*/ 1123950 w 4476750"/>
            <a:gd name="connsiteY8" fmla="*/ 57150 h 486663"/>
            <a:gd name="connsiteX9" fmla="*/ 1143000 w 4476750"/>
            <a:gd name="connsiteY9" fmla="*/ 95250 h 486663"/>
            <a:gd name="connsiteX10" fmla="*/ 1190625 w 4476750"/>
            <a:gd name="connsiteY10" fmla="*/ 133350 h 486663"/>
            <a:gd name="connsiteX11" fmla="*/ 1228725 w 4476750"/>
            <a:gd name="connsiteY11" fmla="*/ 171450 h 486663"/>
            <a:gd name="connsiteX12" fmla="*/ 1257300 w 4476750"/>
            <a:gd name="connsiteY12" fmla="*/ 209550 h 486663"/>
            <a:gd name="connsiteX13" fmla="*/ 1333500 w 4476750"/>
            <a:gd name="connsiteY13" fmla="*/ 219075 h 486663"/>
            <a:gd name="connsiteX14" fmla="*/ 1466850 w 4476750"/>
            <a:gd name="connsiteY14" fmla="*/ 228600 h 486663"/>
            <a:gd name="connsiteX15" fmla="*/ 1590675 w 4476750"/>
            <a:gd name="connsiteY15" fmla="*/ 200025 h 486663"/>
            <a:gd name="connsiteX16" fmla="*/ 1619250 w 4476750"/>
            <a:gd name="connsiteY16" fmla="*/ 190500 h 486663"/>
            <a:gd name="connsiteX17" fmla="*/ 1657350 w 4476750"/>
            <a:gd name="connsiteY17" fmla="*/ 200025 h 486663"/>
            <a:gd name="connsiteX18" fmla="*/ 1743075 w 4476750"/>
            <a:gd name="connsiteY18" fmla="*/ 171450 h 486663"/>
            <a:gd name="connsiteX19" fmla="*/ 1819275 w 4476750"/>
            <a:gd name="connsiteY19" fmla="*/ 123825 h 486663"/>
            <a:gd name="connsiteX20" fmla="*/ 1876425 w 4476750"/>
            <a:gd name="connsiteY20" fmla="*/ 104775 h 486663"/>
            <a:gd name="connsiteX21" fmla="*/ 1924050 w 4476750"/>
            <a:gd name="connsiteY21" fmla="*/ 57150 h 486663"/>
            <a:gd name="connsiteX22" fmla="*/ 1952625 w 4476750"/>
            <a:gd name="connsiteY22" fmla="*/ 66675 h 486663"/>
            <a:gd name="connsiteX23" fmla="*/ 1981200 w 4476750"/>
            <a:gd name="connsiteY23" fmla="*/ 57150 h 486663"/>
            <a:gd name="connsiteX24" fmla="*/ 2095500 w 4476750"/>
            <a:gd name="connsiteY24" fmla="*/ 85725 h 486663"/>
            <a:gd name="connsiteX25" fmla="*/ 2152650 w 4476750"/>
            <a:gd name="connsiteY25" fmla="*/ 95250 h 486663"/>
            <a:gd name="connsiteX26" fmla="*/ 2181225 w 4476750"/>
            <a:gd name="connsiteY26" fmla="*/ 104775 h 486663"/>
            <a:gd name="connsiteX27" fmla="*/ 2333625 w 4476750"/>
            <a:gd name="connsiteY27" fmla="*/ 114300 h 486663"/>
            <a:gd name="connsiteX28" fmla="*/ 2438400 w 4476750"/>
            <a:gd name="connsiteY28" fmla="*/ 152400 h 486663"/>
            <a:gd name="connsiteX29" fmla="*/ 2486025 w 4476750"/>
            <a:gd name="connsiteY29" fmla="*/ 161925 h 486663"/>
            <a:gd name="connsiteX30" fmla="*/ 2543175 w 4476750"/>
            <a:gd name="connsiteY30" fmla="*/ 171450 h 486663"/>
            <a:gd name="connsiteX31" fmla="*/ 2638425 w 4476750"/>
            <a:gd name="connsiteY31" fmla="*/ 180975 h 486663"/>
            <a:gd name="connsiteX32" fmla="*/ 2657475 w 4476750"/>
            <a:gd name="connsiteY32" fmla="*/ 209550 h 486663"/>
            <a:gd name="connsiteX33" fmla="*/ 2714625 w 4476750"/>
            <a:gd name="connsiteY33" fmla="*/ 257175 h 486663"/>
            <a:gd name="connsiteX34" fmla="*/ 2733675 w 4476750"/>
            <a:gd name="connsiteY34" fmla="*/ 285750 h 486663"/>
            <a:gd name="connsiteX35" fmla="*/ 2771775 w 4476750"/>
            <a:gd name="connsiteY35" fmla="*/ 314325 h 486663"/>
            <a:gd name="connsiteX36" fmla="*/ 2857500 w 4476750"/>
            <a:gd name="connsiteY36" fmla="*/ 361950 h 486663"/>
            <a:gd name="connsiteX37" fmla="*/ 2905125 w 4476750"/>
            <a:gd name="connsiteY37" fmla="*/ 381000 h 486663"/>
            <a:gd name="connsiteX38" fmla="*/ 3000375 w 4476750"/>
            <a:gd name="connsiteY38" fmla="*/ 400050 h 486663"/>
            <a:gd name="connsiteX39" fmla="*/ 3028950 w 4476750"/>
            <a:gd name="connsiteY39" fmla="*/ 409575 h 486663"/>
            <a:gd name="connsiteX40" fmla="*/ 3114675 w 4476750"/>
            <a:gd name="connsiteY40" fmla="*/ 428625 h 486663"/>
            <a:gd name="connsiteX41" fmla="*/ 3209925 w 4476750"/>
            <a:gd name="connsiteY41" fmla="*/ 438150 h 486663"/>
            <a:gd name="connsiteX42" fmla="*/ 3362325 w 4476750"/>
            <a:gd name="connsiteY42" fmla="*/ 457200 h 486663"/>
            <a:gd name="connsiteX43" fmla="*/ 3638550 w 4476750"/>
            <a:gd name="connsiteY43" fmla="*/ 476250 h 486663"/>
            <a:gd name="connsiteX44" fmla="*/ 3781425 w 4476750"/>
            <a:gd name="connsiteY44" fmla="*/ 466725 h 486663"/>
            <a:gd name="connsiteX45" fmla="*/ 3848100 w 4476750"/>
            <a:gd name="connsiteY45" fmla="*/ 438150 h 486663"/>
            <a:gd name="connsiteX46" fmla="*/ 3924300 w 4476750"/>
            <a:gd name="connsiteY46" fmla="*/ 428625 h 486663"/>
            <a:gd name="connsiteX47" fmla="*/ 3962400 w 4476750"/>
            <a:gd name="connsiteY47" fmla="*/ 419100 h 486663"/>
            <a:gd name="connsiteX48" fmla="*/ 4038600 w 4476750"/>
            <a:gd name="connsiteY48" fmla="*/ 390525 h 486663"/>
            <a:gd name="connsiteX49" fmla="*/ 4076700 w 4476750"/>
            <a:gd name="connsiteY49" fmla="*/ 352425 h 486663"/>
            <a:gd name="connsiteX50" fmla="*/ 4114800 w 4476750"/>
            <a:gd name="connsiteY50" fmla="*/ 342900 h 486663"/>
            <a:gd name="connsiteX51" fmla="*/ 4476750 w 4476750"/>
            <a:gd name="connsiteY51" fmla="*/ 352425 h 486663"/>
            <a:gd name="connsiteX0" fmla="*/ 2419 w 4479169"/>
            <a:gd name="connsiteY0" fmla="*/ 0 h 486663"/>
            <a:gd name="connsiteX1" fmla="*/ 69094 w 4479169"/>
            <a:gd name="connsiteY1" fmla="*/ 28575 h 486663"/>
            <a:gd name="connsiteX2" fmla="*/ 707269 w 4479169"/>
            <a:gd name="connsiteY2" fmla="*/ 19050 h 486663"/>
            <a:gd name="connsiteX3" fmla="*/ 792994 w 4479169"/>
            <a:gd name="connsiteY3" fmla="*/ 38100 h 486663"/>
            <a:gd name="connsiteX4" fmla="*/ 821569 w 4479169"/>
            <a:gd name="connsiteY4" fmla="*/ 47625 h 486663"/>
            <a:gd name="connsiteX5" fmla="*/ 907294 w 4479169"/>
            <a:gd name="connsiteY5" fmla="*/ 66675 h 486663"/>
            <a:gd name="connsiteX6" fmla="*/ 1031119 w 4479169"/>
            <a:gd name="connsiteY6" fmla="*/ 28575 h 486663"/>
            <a:gd name="connsiteX7" fmla="*/ 1126369 w 4479169"/>
            <a:gd name="connsiteY7" fmla="*/ 57150 h 486663"/>
            <a:gd name="connsiteX8" fmla="*/ 1145419 w 4479169"/>
            <a:gd name="connsiteY8" fmla="*/ 95250 h 486663"/>
            <a:gd name="connsiteX9" fmla="*/ 1193044 w 4479169"/>
            <a:gd name="connsiteY9" fmla="*/ 133350 h 486663"/>
            <a:gd name="connsiteX10" fmla="*/ 1231144 w 4479169"/>
            <a:gd name="connsiteY10" fmla="*/ 171450 h 486663"/>
            <a:gd name="connsiteX11" fmla="*/ 1259719 w 4479169"/>
            <a:gd name="connsiteY11" fmla="*/ 209550 h 486663"/>
            <a:gd name="connsiteX12" fmla="*/ 1335919 w 4479169"/>
            <a:gd name="connsiteY12" fmla="*/ 219075 h 486663"/>
            <a:gd name="connsiteX13" fmla="*/ 1469269 w 4479169"/>
            <a:gd name="connsiteY13" fmla="*/ 228600 h 486663"/>
            <a:gd name="connsiteX14" fmla="*/ 1593094 w 4479169"/>
            <a:gd name="connsiteY14" fmla="*/ 200025 h 486663"/>
            <a:gd name="connsiteX15" fmla="*/ 1621669 w 4479169"/>
            <a:gd name="connsiteY15" fmla="*/ 190500 h 486663"/>
            <a:gd name="connsiteX16" fmla="*/ 1659769 w 4479169"/>
            <a:gd name="connsiteY16" fmla="*/ 200025 h 486663"/>
            <a:gd name="connsiteX17" fmla="*/ 1745494 w 4479169"/>
            <a:gd name="connsiteY17" fmla="*/ 171450 h 486663"/>
            <a:gd name="connsiteX18" fmla="*/ 1821694 w 4479169"/>
            <a:gd name="connsiteY18" fmla="*/ 123825 h 486663"/>
            <a:gd name="connsiteX19" fmla="*/ 1878844 w 4479169"/>
            <a:gd name="connsiteY19" fmla="*/ 104775 h 486663"/>
            <a:gd name="connsiteX20" fmla="*/ 1926469 w 4479169"/>
            <a:gd name="connsiteY20" fmla="*/ 57150 h 486663"/>
            <a:gd name="connsiteX21" fmla="*/ 1955044 w 4479169"/>
            <a:gd name="connsiteY21" fmla="*/ 66675 h 486663"/>
            <a:gd name="connsiteX22" fmla="*/ 1983619 w 4479169"/>
            <a:gd name="connsiteY22" fmla="*/ 57150 h 486663"/>
            <a:gd name="connsiteX23" fmla="*/ 2097919 w 4479169"/>
            <a:gd name="connsiteY23" fmla="*/ 85725 h 486663"/>
            <a:gd name="connsiteX24" fmla="*/ 2155069 w 4479169"/>
            <a:gd name="connsiteY24" fmla="*/ 95250 h 486663"/>
            <a:gd name="connsiteX25" fmla="*/ 2183644 w 4479169"/>
            <a:gd name="connsiteY25" fmla="*/ 104775 h 486663"/>
            <a:gd name="connsiteX26" fmla="*/ 2336044 w 4479169"/>
            <a:gd name="connsiteY26" fmla="*/ 114300 h 486663"/>
            <a:gd name="connsiteX27" fmla="*/ 2440819 w 4479169"/>
            <a:gd name="connsiteY27" fmla="*/ 152400 h 486663"/>
            <a:gd name="connsiteX28" fmla="*/ 2488444 w 4479169"/>
            <a:gd name="connsiteY28" fmla="*/ 161925 h 486663"/>
            <a:gd name="connsiteX29" fmla="*/ 2545594 w 4479169"/>
            <a:gd name="connsiteY29" fmla="*/ 171450 h 486663"/>
            <a:gd name="connsiteX30" fmla="*/ 2640844 w 4479169"/>
            <a:gd name="connsiteY30" fmla="*/ 180975 h 486663"/>
            <a:gd name="connsiteX31" fmla="*/ 2659894 w 4479169"/>
            <a:gd name="connsiteY31" fmla="*/ 209550 h 486663"/>
            <a:gd name="connsiteX32" fmla="*/ 2717044 w 4479169"/>
            <a:gd name="connsiteY32" fmla="*/ 257175 h 486663"/>
            <a:gd name="connsiteX33" fmla="*/ 2736094 w 4479169"/>
            <a:gd name="connsiteY33" fmla="*/ 285750 h 486663"/>
            <a:gd name="connsiteX34" fmla="*/ 2774194 w 4479169"/>
            <a:gd name="connsiteY34" fmla="*/ 314325 h 486663"/>
            <a:gd name="connsiteX35" fmla="*/ 2859919 w 4479169"/>
            <a:gd name="connsiteY35" fmla="*/ 361950 h 486663"/>
            <a:gd name="connsiteX36" fmla="*/ 2907544 w 4479169"/>
            <a:gd name="connsiteY36" fmla="*/ 381000 h 486663"/>
            <a:gd name="connsiteX37" fmla="*/ 3002794 w 4479169"/>
            <a:gd name="connsiteY37" fmla="*/ 400050 h 486663"/>
            <a:gd name="connsiteX38" fmla="*/ 3031369 w 4479169"/>
            <a:gd name="connsiteY38" fmla="*/ 409575 h 486663"/>
            <a:gd name="connsiteX39" fmla="*/ 3117094 w 4479169"/>
            <a:gd name="connsiteY39" fmla="*/ 428625 h 486663"/>
            <a:gd name="connsiteX40" fmla="*/ 3212344 w 4479169"/>
            <a:gd name="connsiteY40" fmla="*/ 438150 h 486663"/>
            <a:gd name="connsiteX41" fmla="*/ 3364744 w 4479169"/>
            <a:gd name="connsiteY41" fmla="*/ 457200 h 486663"/>
            <a:gd name="connsiteX42" fmla="*/ 3640969 w 4479169"/>
            <a:gd name="connsiteY42" fmla="*/ 476250 h 486663"/>
            <a:gd name="connsiteX43" fmla="*/ 3783844 w 4479169"/>
            <a:gd name="connsiteY43" fmla="*/ 466725 h 486663"/>
            <a:gd name="connsiteX44" fmla="*/ 3850519 w 4479169"/>
            <a:gd name="connsiteY44" fmla="*/ 438150 h 486663"/>
            <a:gd name="connsiteX45" fmla="*/ 3926719 w 4479169"/>
            <a:gd name="connsiteY45" fmla="*/ 428625 h 486663"/>
            <a:gd name="connsiteX46" fmla="*/ 3964819 w 4479169"/>
            <a:gd name="connsiteY46" fmla="*/ 419100 h 486663"/>
            <a:gd name="connsiteX47" fmla="*/ 4041019 w 4479169"/>
            <a:gd name="connsiteY47" fmla="*/ 390525 h 486663"/>
            <a:gd name="connsiteX48" fmla="*/ 4079119 w 4479169"/>
            <a:gd name="connsiteY48" fmla="*/ 352425 h 486663"/>
            <a:gd name="connsiteX49" fmla="*/ 4117219 w 4479169"/>
            <a:gd name="connsiteY49" fmla="*/ 342900 h 486663"/>
            <a:gd name="connsiteX50" fmla="*/ 4479169 w 4479169"/>
            <a:gd name="connsiteY50" fmla="*/ 352425 h 486663"/>
            <a:gd name="connsiteX0" fmla="*/ 0 w 4476750"/>
            <a:gd name="connsiteY0" fmla="*/ 0 h 486663"/>
            <a:gd name="connsiteX1" fmla="*/ 704850 w 4476750"/>
            <a:gd name="connsiteY1" fmla="*/ 19050 h 486663"/>
            <a:gd name="connsiteX2" fmla="*/ 790575 w 4476750"/>
            <a:gd name="connsiteY2" fmla="*/ 38100 h 486663"/>
            <a:gd name="connsiteX3" fmla="*/ 819150 w 4476750"/>
            <a:gd name="connsiteY3" fmla="*/ 47625 h 486663"/>
            <a:gd name="connsiteX4" fmla="*/ 904875 w 4476750"/>
            <a:gd name="connsiteY4" fmla="*/ 66675 h 486663"/>
            <a:gd name="connsiteX5" fmla="*/ 1028700 w 4476750"/>
            <a:gd name="connsiteY5" fmla="*/ 28575 h 486663"/>
            <a:gd name="connsiteX6" fmla="*/ 1123950 w 4476750"/>
            <a:gd name="connsiteY6" fmla="*/ 57150 h 486663"/>
            <a:gd name="connsiteX7" fmla="*/ 1143000 w 4476750"/>
            <a:gd name="connsiteY7" fmla="*/ 95250 h 486663"/>
            <a:gd name="connsiteX8" fmla="*/ 1190625 w 4476750"/>
            <a:gd name="connsiteY8" fmla="*/ 133350 h 486663"/>
            <a:gd name="connsiteX9" fmla="*/ 1228725 w 4476750"/>
            <a:gd name="connsiteY9" fmla="*/ 171450 h 486663"/>
            <a:gd name="connsiteX10" fmla="*/ 1257300 w 4476750"/>
            <a:gd name="connsiteY10" fmla="*/ 209550 h 486663"/>
            <a:gd name="connsiteX11" fmla="*/ 1333500 w 4476750"/>
            <a:gd name="connsiteY11" fmla="*/ 219075 h 486663"/>
            <a:gd name="connsiteX12" fmla="*/ 1466850 w 4476750"/>
            <a:gd name="connsiteY12" fmla="*/ 228600 h 486663"/>
            <a:gd name="connsiteX13" fmla="*/ 1590675 w 4476750"/>
            <a:gd name="connsiteY13" fmla="*/ 200025 h 486663"/>
            <a:gd name="connsiteX14" fmla="*/ 1619250 w 4476750"/>
            <a:gd name="connsiteY14" fmla="*/ 190500 h 486663"/>
            <a:gd name="connsiteX15" fmla="*/ 1657350 w 4476750"/>
            <a:gd name="connsiteY15" fmla="*/ 200025 h 486663"/>
            <a:gd name="connsiteX16" fmla="*/ 1743075 w 4476750"/>
            <a:gd name="connsiteY16" fmla="*/ 171450 h 486663"/>
            <a:gd name="connsiteX17" fmla="*/ 1819275 w 4476750"/>
            <a:gd name="connsiteY17" fmla="*/ 123825 h 486663"/>
            <a:gd name="connsiteX18" fmla="*/ 1876425 w 4476750"/>
            <a:gd name="connsiteY18" fmla="*/ 104775 h 486663"/>
            <a:gd name="connsiteX19" fmla="*/ 1924050 w 4476750"/>
            <a:gd name="connsiteY19" fmla="*/ 57150 h 486663"/>
            <a:gd name="connsiteX20" fmla="*/ 1952625 w 4476750"/>
            <a:gd name="connsiteY20" fmla="*/ 66675 h 486663"/>
            <a:gd name="connsiteX21" fmla="*/ 1981200 w 4476750"/>
            <a:gd name="connsiteY21" fmla="*/ 57150 h 486663"/>
            <a:gd name="connsiteX22" fmla="*/ 2095500 w 4476750"/>
            <a:gd name="connsiteY22" fmla="*/ 85725 h 486663"/>
            <a:gd name="connsiteX23" fmla="*/ 2152650 w 4476750"/>
            <a:gd name="connsiteY23" fmla="*/ 95250 h 486663"/>
            <a:gd name="connsiteX24" fmla="*/ 2181225 w 4476750"/>
            <a:gd name="connsiteY24" fmla="*/ 104775 h 486663"/>
            <a:gd name="connsiteX25" fmla="*/ 2333625 w 4476750"/>
            <a:gd name="connsiteY25" fmla="*/ 114300 h 486663"/>
            <a:gd name="connsiteX26" fmla="*/ 2438400 w 4476750"/>
            <a:gd name="connsiteY26" fmla="*/ 152400 h 486663"/>
            <a:gd name="connsiteX27" fmla="*/ 2486025 w 4476750"/>
            <a:gd name="connsiteY27" fmla="*/ 161925 h 486663"/>
            <a:gd name="connsiteX28" fmla="*/ 2543175 w 4476750"/>
            <a:gd name="connsiteY28" fmla="*/ 171450 h 486663"/>
            <a:gd name="connsiteX29" fmla="*/ 2638425 w 4476750"/>
            <a:gd name="connsiteY29" fmla="*/ 180975 h 486663"/>
            <a:gd name="connsiteX30" fmla="*/ 2657475 w 4476750"/>
            <a:gd name="connsiteY30" fmla="*/ 209550 h 486663"/>
            <a:gd name="connsiteX31" fmla="*/ 2714625 w 4476750"/>
            <a:gd name="connsiteY31" fmla="*/ 257175 h 486663"/>
            <a:gd name="connsiteX32" fmla="*/ 2733675 w 4476750"/>
            <a:gd name="connsiteY32" fmla="*/ 285750 h 486663"/>
            <a:gd name="connsiteX33" fmla="*/ 2771775 w 4476750"/>
            <a:gd name="connsiteY33" fmla="*/ 314325 h 486663"/>
            <a:gd name="connsiteX34" fmla="*/ 2857500 w 4476750"/>
            <a:gd name="connsiteY34" fmla="*/ 361950 h 486663"/>
            <a:gd name="connsiteX35" fmla="*/ 2905125 w 4476750"/>
            <a:gd name="connsiteY35" fmla="*/ 381000 h 486663"/>
            <a:gd name="connsiteX36" fmla="*/ 3000375 w 4476750"/>
            <a:gd name="connsiteY36" fmla="*/ 400050 h 486663"/>
            <a:gd name="connsiteX37" fmla="*/ 3028950 w 4476750"/>
            <a:gd name="connsiteY37" fmla="*/ 409575 h 486663"/>
            <a:gd name="connsiteX38" fmla="*/ 3114675 w 4476750"/>
            <a:gd name="connsiteY38" fmla="*/ 428625 h 486663"/>
            <a:gd name="connsiteX39" fmla="*/ 3209925 w 4476750"/>
            <a:gd name="connsiteY39" fmla="*/ 438150 h 486663"/>
            <a:gd name="connsiteX40" fmla="*/ 3362325 w 4476750"/>
            <a:gd name="connsiteY40" fmla="*/ 457200 h 486663"/>
            <a:gd name="connsiteX41" fmla="*/ 3638550 w 4476750"/>
            <a:gd name="connsiteY41" fmla="*/ 476250 h 486663"/>
            <a:gd name="connsiteX42" fmla="*/ 3781425 w 4476750"/>
            <a:gd name="connsiteY42" fmla="*/ 466725 h 486663"/>
            <a:gd name="connsiteX43" fmla="*/ 3848100 w 4476750"/>
            <a:gd name="connsiteY43" fmla="*/ 438150 h 486663"/>
            <a:gd name="connsiteX44" fmla="*/ 3924300 w 4476750"/>
            <a:gd name="connsiteY44" fmla="*/ 428625 h 486663"/>
            <a:gd name="connsiteX45" fmla="*/ 3962400 w 4476750"/>
            <a:gd name="connsiteY45" fmla="*/ 419100 h 486663"/>
            <a:gd name="connsiteX46" fmla="*/ 4038600 w 4476750"/>
            <a:gd name="connsiteY46" fmla="*/ 390525 h 486663"/>
            <a:gd name="connsiteX47" fmla="*/ 4076700 w 4476750"/>
            <a:gd name="connsiteY47" fmla="*/ 352425 h 486663"/>
            <a:gd name="connsiteX48" fmla="*/ 4114800 w 4476750"/>
            <a:gd name="connsiteY48" fmla="*/ 342900 h 486663"/>
            <a:gd name="connsiteX49" fmla="*/ 4476750 w 4476750"/>
            <a:gd name="connsiteY49" fmla="*/ 352425 h 486663"/>
            <a:gd name="connsiteX0" fmla="*/ 0 w 3771900"/>
            <a:gd name="connsiteY0" fmla="*/ 0 h 467613"/>
            <a:gd name="connsiteX1" fmla="*/ 85725 w 3771900"/>
            <a:gd name="connsiteY1" fmla="*/ 19050 h 467613"/>
            <a:gd name="connsiteX2" fmla="*/ 114300 w 3771900"/>
            <a:gd name="connsiteY2" fmla="*/ 28575 h 467613"/>
            <a:gd name="connsiteX3" fmla="*/ 200025 w 3771900"/>
            <a:gd name="connsiteY3" fmla="*/ 47625 h 467613"/>
            <a:gd name="connsiteX4" fmla="*/ 323850 w 3771900"/>
            <a:gd name="connsiteY4" fmla="*/ 9525 h 467613"/>
            <a:gd name="connsiteX5" fmla="*/ 419100 w 3771900"/>
            <a:gd name="connsiteY5" fmla="*/ 38100 h 467613"/>
            <a:gd name="connsiteX6" fmla="*/ 438150 w 3771900"/>
            <a:gd name="connsiteY6" fmla="*/ 76200 h 467613"/>
            <a:gd name="connsiteX7" fmla="*/ 485775 w 3771900"/>
            <a:gd name="connsiteY7" fmla="*/ 114300 h 467613"/>
            <a:gd name="connsiteX8" fmla="*/ 523875 w 3771900"/>
            <a:gd name="connsiteY8" fmla="*/ 152400 h 467613"/>
            <a:gd name="connsiteX9" fmla="*/ 552450 w 3771900"/>
            <a:gd name="connsiteY9" fmla="*/ 190500 h 467613"/>
            <a:gd name="connsiteX10" fmla="*/ 628650 w 3771900"/>
            <a:gd name="connsiteY10" fmla="*/ 200025 h 467613"/>
            <a:gd name="connsiteX11" fmla="*/ 762000 w 3771900"/>
            <a:gd name="connsiteY11" fmla="*/ 209550 h 467613"/>
            <a:gd name="connsiteX12" fmla="*/ 885825 w 3771900"/>
            <a:gd name="connsiteY12" fmla="*/ 180975 h 467613"/>
            <a:gd name="connsiteX13" fmla="*/ 914400 w 3771900"/>
            <a:gd name="connsiteY13" fmla="*/ 171450 h 467613"/>
            <a:gd name="connsiteX14" fmla="*/ 952500 w 3771900"/>
            <a:gd name="connsiteY14" fmla="*/ 180975 h 467613"/>
            <a:gd name="connsiteX15" fmla="*/ 1038225 w 3771900"/>
            <a:gd name="connsiteY15" fmla="*/ 152400 h 467613"/>
            <a:gd name="connsiteX16" fmla="*/ 1114425 w 3771900"/>
            <a:gd name="connsiteY16" fmla="*/ 104775 h 467613"/>
            <a:gd name="connsiteX17" fmla="*/ 1171575 w 3771900"/>
            <a:gd name="connsiteY17" fmla="*/ 85725 h 467613"/>
            <a:gd name="connsiteX18" fmla="*/ 1219200 w 3771900"/>
            <a:gd name="connsiteY18" fmla="*/ 38100 h 467613"/>
            <a:gd name="connsiteX19" fmla="*/ 1247775 w 3771900"/>
            <a:gd name="connsiteY19" fmla="*/ 47625 h 467613"/>
            <a:gd name="connsiteX20" fmla="*/ 1276350 w 3771900"/>
            <a:gd name="connsiteY20" fmla="*/ 38100 h 467613"/>
            <a:gd name="connsiteX21" fmla="*/ 1390650 w 3771900"/>
            <a:gd name="connsiteY21" fmla="*/ 66675 h 467613"/>
            <a:gd name="connsiteX22" fmla="*/ 1447800 w 3771900"/>
            <a:gd name="connsiteY22" fmla="*/ 76200 h 467613"/>
            <a:gd name="connsiteX23" fmla="*/ 1476375 w 3771900"/>
            <a:gd name="connsiteY23" fmla="*/ 85725 h 467613"/>
            <a:gd name="connsiteX24" fmla="*/ 1628775 w 3771900"/>
            <a:gd name="connsiteY24" fmla="*/ 95250 h 467613"/>
            <a:gd name="connsiteX25" fmla="*/ 1733550 w 3771900"/>
            <a:gd name="connsiteY25" fmla="*/ 133350 h 467613"/>
            <a:gd name="connsiteX26" fmla="*/ 1781175 w 3771900"/>
            <a:gd name="connsiteY26" fmla="*/ 142875 h 467613"/>
            <a:gd name="connsiteX27" fmla="*/ 1838325 w 3771900"/>
            <a:gd name="connsiteY27" fmla="*/ 152400 h 467613"/>
            <a:gd name="connsiteX28" fmla="*/ 1933575 w 3771900"/>
            <a:gd name="connsiteY28" fmla="*/ 161925 h 467613"/>
            <a:gd name="connsiteX29" fmla="*/ 1952625 w 3771900"/>
            <a:gd name="connsiteY29" fmla="*/ 190500 h 467613"/>
            <a:gd name="connsiteX30" fmla="*/ 2009775 w 3771900"/>
            <a:gd name="connsiteY30" fmla="*/ 238125 h 467613"/>
            <a:gd name="connsiteX31" fmla="*/ 2028825 w 3771900"/>
            <a:gd name="connsiteY31" fmla="*/ 266700 h 467613"/>
            <a:gd name="connsiteX32" fmla="*/ 2066925 w 3771900"/>
            <a:gd name="connsiteY32" fmla="*/ 295275 h 467613"/>
            <a:gd name="connsiteX33" fmla="*/ 2152650 w 3771900"/>
            <a:gd name="connsiteY33" fmla="*/ 342900 h 467613"/>
            <a:gd name="connsiteX34" fmla="*/ 2200275 w 3771900"/>
            <a:gd name="connsiteY34" fmla="*/ 361950 h 467613"/>
            <a:gd name="connsiteX35" fmla="*/ 2295525 w 3771900"/>
            <a:gd name="connsiteY35" fmla="*/ 381000 h 467613"/>
            <a:gd name="connsiteX36" fmla="*/ 2324100 w 3771900"/>
            <a:gd name="connsiteY36" fmla="*/ 390525 h 467613"/>
            <a:gd name="connsiteX37" fmla="*/ 2409825 w 3771900"/>
            <a:gd name="connsiteY37" fmla="*/ 409575 h 467613"/>
            <a:gd name="connsiteX38" fmla="*/ 2505075 w 3771900"/>
            <a:gd name="connsiteY38" fmla="*/ 419100 h 467613"/>
            <a:gd name="connsiteX39" fmla="*/ 2657475 w 3771900"/>
            <a:gd name="connsiteY39" fmla="*/ 438150 h 467613"/>
            <a:gd name="connsiteX40" fmla="*/ 2933700 w 3771900"/>
            <a:gd name="connsiteY40" fmla="*/ 457200 h 467613"/>
            <a:gd name="connsiteX41" fmla="*/ 3076575 w 3771900"/>
            <a:gd name="connsiteY41" fmla="*/ 447675 h 467613"/>
            <a:gd name="connsiteX42" fmla="*/ 3143250 w 3771900"/>
            <a:gd name="connsiteY42" fmla="*/ 419100 h 467613"/>
            <a:gd name="connsiteX43" fmla="*/ 3219450 w 3771900"/>
            <a:gd name="connsiteY43" fmla="*/ 409575 h 467613"/>
            <a:gd name="connsiteX44" fmla="*/ 3257550 w 3771900"/>
            <a:gd name="connsiteY44" fmla="*/ 400050 h 467613"/>
            <a:gd name="connsiteX45" fmla="*/ 3333750 w 3771900"/>
            <a:gd name="connsiteY45" fmla="*/ 371475 h 467613"/>
            <a:gd name="connsiteX46" fmla="*/ 3371850 w 3771900"/>
            <a:gd name="connsiteY46" fmla="*/ 333375 h 467613"/>
            <a:gd name="connsiteX47" fmla="*/ 3409950 w 3771900"/>
            <a:gd name="connsiteY47" fmla="*/ 323850 h 467613"/>
            <a:gd name="connsiteX48" fmla="*/ 3771900 w 3771900"/>
            <a:gd name="connsiteY48" fmla="*/ 333375 h 467613"/>
            <a:gd name="connsiteX0" fmla="*/ 0 w 3771900"/>
            <a:gd name="connsiteY0" fmla="*/ 0 h 448652"/>
            <a:gd name="connsiteX1" fmla="*/ 85725 w 3771900"/>
            <a:gd name="connsiteY1" fmla="*/ 19050 h 448652"/>
            <a:gd name="connsiteX2" fmla="*/ 114300 w 3771900"/>
            <a:gd name="connsiteY2" fmla="*/ 28575 h 448652"/>
            <a:gd name="connsiteX3" fmla="*/ 200025 w 3771900"/>
            <a:gd name="connsiteY3" fmla="*/ 47625 h 448652"/>
            <a:gd name="connsiteX4" fmla="*/ 323850 w 3771900"/>
            <a:gd name="connsiteY4" fmla="*/ 9525 h 448652"/>
            <a:gd name="connsiteX5" fmla="*/ 419100 w 3771900"/>
            <a:gd name="connsiteY5" fmla="*/ 38100 h 448652"/>
            <a:gd name="connsiteX6" fmla="*/ 438150 w 3771900"/>
            <a:gd name="connsiteY6" fmla="*/ 76200 h 448652"/>
            <a:gd name="connsiteX7" fmla="*/ 485775 w 3771900"/>
            <a:gd name="connsiteY7" fmla="*/ 114300 h 448652"/>
            <a:gd name="connsiteX8" fmla="*/ 523875 w 3771900"/>
            <a:gd name="connsiteY8" fmla="*/ 152400 h 448652"/>
            <a:gd name="connsiteX9" fmla="*/ 552450 w 3771900"/>
            <a:gd name="connsiteY9" fmla="*/ 190500 h 448652"/>
            <a:gd name="connsiteX10" fmla="*/ 628650 w 3771900"/>
            <a:gd name="connsiteY10" fmla="*/ 200025 h 448652"/>
            <a:gd name="connsiteX11" fmla="*/ 762000 w 3771900"/>
            <a:gd name="connsiteY11" fmla="*/ 209550 h 448652"/>
            <a:gd name="connsiteX12" fmla="*/ 885825 w 3771900"/>
            <a:gd name="connsiteY12" fmla="*/ 180975 h 448652"/>
            <a:gd name="connsiteX13" fmla="*/ 914400 w 3771900"/>
            <a:gd name="connsiteY13" fmla="*/ 171450 h 448652"/>
            <a:gd name="connsiteX14" fmla="*/ 952500 w 3771900"/>
            <a:gd name="connsiteY14" fmla="*/ 180975 h 448652"/>
            <a:gd name="connsiteX15" fmla="*/ 1038225 w 3771900"/>
            <a:gd name="connsiteY15" fmla="*/ 152400 h 448652"/>
            <a:gd name="connsiteX16" fmla="*/ 1114425 w 3771900"/>
            <a:gd name="connsiteY16" fmla="*/ 104775 h 448652"/>
            <a:gd name="connsiteX17" fmla="*/ 1171575 w 3771900"/>
            <a:gd name="connsiteY17" fmla="*/ 85725 h 448652"/>
            <a:gd name="connsiteX18" fmla="*/ 1219200 w 3771900"/>
            <a:gd name="connsiteY18" fmla="*/ 38100 h 448652"/>
            <a:gd name="connsiteX19" fmla="*/ 1247775 w 3771900"/>
            <a:gd name="connsiteY19" fmla="*/ 47625 h 448652"/>
            <a:gd name="connsiteX20" fmla="*/ 1276350 w 3771900"/>
            <a:gd name="connsiteY20" fmla="*/ 38100 h 448652"/>
            <a:gd name="connsiteX21" fmla="*/ 1390650 w 3771900"/>
            <a:gd name="connsiteY21" fmla="*/ 66675 h 448652"/>
            <a:gd name="connsiteX22" fmla="*/ 1447800 w 3771900"/>
            <a:gd name="connsiteY22" fmla="*/ 76200 h 448652"/>
            <a:gd name="connsiteX23" fmla="*/ 1476375 w 3771900"/>
            <a:gd name="connsiteY23" fmla="*/ 85725 h 448652"/>
            <a:gd name="connsiteX24" fmla="*/ 1628775 w 3771900"/>
            <a:gd name="connsiteY24" fmla="*/ 95250 h 448652"/>
            <a:gd name="connsiteX25" fmla="*/ 1733550 w 3771900"/>
            <a:gd name="connsiteY25" fmla="*/ 133350 h 448652"/>
            <a:gd name="connsiteX26" fmla="*/ 1781175 w 3771900"/>
            <a:gd name="connsiteY26" fmla="*/ 142875 h 448652"/>
            <a:gd name="connsiteX27" fmla="*/ 1838325 w 3771900"/>
            <a:gd name="connsiteY27" fmla="*/ 152400 h 448652"/>
            <a:gd name="connsiteX28" fmla="*/ 1933575 w 3771900"/>
            <a:gd name="connsiteY28" fmla="*/ 161925 h 448652"/>
            <a:gd name="connsiteX29" fmla="*/ 1952625 w 3771900"/>
            <a:gd name="connsiteY29" fmla="*/ 190500 h 448652"/>
            <a:gd name="connsiteX30" fmla="*/ 2009775 w 3771900"/>
            <a:gd name="connsiteY30" fmla="*/ 238125 h 448652"/>
            <a:gd name="connsiteX31" fmla="*/ 2028825 w 3771900"/>
            <a:gd name="connsiteY31" fmla="*/ 266700 h 448652"/>
            <a:gd name="connsiteX32" fmla="*/ 2066925 w 3771900"/>
            <a:gd name="connsiteY32" fmla="*/ 295275 h 448652"/>
            <a:gd name="connsiteX33" fmla="*/ 2152650 w 3771900"/>
            <a:gd name="connsiteY33" fmla="*/ 342900 h 448652"/>
            <a:gd name="connsiteX34" fmla="*/ 2200275 w 3771900"/>
            <a:gd name="connsiteY34" fmla="*/ 361950 h 448652"/>
            <a:gd name="connsiteX35" fmla="*/ 2295525 w 3771900"/>
            <a:gd name="connsiteY35" fmla="*/ 381000 h 448652"/>
            <a:gd name="connsiteX36" fmla="*/ 2324100 w 3771900"/>
            <a:gd name="connsiteY36" fmla="*/ 390525 h 448652"/>
            <a:gd name="connsiteX37" fmla="*/ 2409825 w 3771900"/>
            <a:gd name="connsiteY37" fmla="*/ 409575 h 448652"/>
            <a:gd name="connsiteX38" fmla="*/ 2505075 w 3771900"/>
            <a:gd name="connsiteY38" fmla="*/ 419100 h 448652"/>
            <a:gd name="connsiteX39" fmla="*/ 2657475 w 3771900"/>
            <a:gd name="connsiteY39" fmla="*/ 438150 h 448652"/>
            <a:gd name="connsiteX40" fmla="*/ 2939659 w 3771900"/>
            <a:gd name="connsiteY40" fmla="*/ 379368 h 448652"/>
            <a:gd name="connsiteX41" fmla="*/ 3076575 w 3771900"/>
            <a:gd name="connsiteY41" fmla="*/ 447675 h 448652"/>
            <a:gd name="connsiteX42" fmla="*/ 3143250 w 3771900"/>
            <a:gd name="connsiteY42" fmla="*/ 419100 h 448652"/>
            <a:gd name="connsiteX43" fmla="*/ 3219450 w 3771900"/>
            <a:gd name="connsiteY43" fmla="*/ 409575 h 448652"/>
            <a:gd name="connsiteX44" fmla="*/ 3257550 w 3771900"/>
            <a:gd name="connsiteY44" fmla="*/ 400050 h 448652"/>
            <a:gd name="connsiteX45" fmla="*/ 3333750 w 3771900"/>
            <a:gd name="connsiteY45" fmla="*/ 371475 h 448652"/>
            <a:gd name="connsiteX46" fmla="*/ 3371850 w 3771900"/>
            <a:gd name="connsiteY46" fmla="*/ 333375 h 448652"/>
            <a:gd name="connsiteX47" fmla="*/ 3409950 w 3771900"/>
            <a:gd name="connsiteY47" fmla="*/ 323850 h 448652"/>
            <a:gd name="connsiteX48" fmla="*/ 3771900 w 3771900"/>
            <a:gd name="connsiteY48" fmla="*/ 333375 h 448652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43250 w 3771900"/>
            <a:gd name="connsiteY42" fmla="*/ 41910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33750 w 3771900"/>
            <a:gd name="connsiteY44" fmla="*/ 371475 h 439488"/>
            <a:gd name="connsiteX45" fmla="*/ 3371850 w 3771900"/>
            <a:gd name="connsiteY45" fmla="*/ 333375 h 439488"/>
            <a:gd name="connsiteX46" fmla="*/ 3409950 w 3771900"/>
            <a:gd name="connsiteY46" fmla="*/ 323850 h 439488"/>
            <a:gd name="connsiteX47" fmla="*/ 3771900 w 3771900"/>
            <a:gd name="connsiteY47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71850 w 3771900"/>
            <a:gd name="connsiteY44" fmla="*/ 333375 h 439488"/>
            <a:gd name="connsiteX45" fmla="*/ 3409950 w 3771900"/>
            <a:gd name="connsiteY45" fmla="*/ 323850 h 439488"/>
            <a:gd name="connsiteX46" fmla="*/ 3771900 w 3771900"/>
            <a:gd name="connsiteY46" fmla="*/ 333375 h 439488"/>
            <a:gd name="connsiteX0" fmla="*/ 0 w 3409950"/>
            <a:gd name="connsiteY0" fmla="*/ 0 h 439488"/>
            <a:gd name="connsiteX1" fmla="*/ 85725 w 3409950"/>
            <a:gd name="connsiteY1" fmla="*/ 19050 h 439488"/>
            <a:gd name="connsiteX2" fmla="*/ 114300 w 3409950"/>
            <a:gd name="connsiteY2" fmla="*/ 28575 h 439488"/>
            <a:gd name="connsiteX3" fmla="*/ 200025 w 3409950"/>
            <a:gd name="connsiteY3" fmla="*/ 47625 h 439488"/>
            <a:gd name="connsiteX4" fmla="*/ 323850 w 3409950"/>
            <a:gd name="connsiteY4" fmla="*/ 9525 h 439488"/>
            <a:gd name="connsiteX5" fmla="*/ 419100 w 3409950"/>
            <a:gd name="connsiteY5" fmla="*/ 38100 h 439488"/>
            <a:gd name="connsiteX6" fmla="*/ 438150 w 3409950"/>
            <a:gd name="connsiteY6" fmla="*/ 76200 h 439488"/>
            <a:gd name="connsiteX7" fmla="*/ 485775 w 3409950"/>
            <a:gd name="connsiteY7" fmla="*/ 114300 h 439488"/>
            <a:gd name="connsiteX8" fmla="*/ 523875 w 3409950"/>
            <a:gd name="connsiteY8" fmla="*/ 152400 h 439488"/>
            <a:gd name="connsiteX9" fmla="*/ 552450 w 3409950"/>
            <a:gd name="connsiteY9" fmla="*/ 190500 h 439488"/>
            <a:gd name="connsiteX10" fmla="*/ 628650 w 3409950"/>
            <a:gd name="connsiteY10" fmla="*/ 200025 h 439488"/>
            <a:gd name="connsiteX11" fmla="*/ 762000 w 3409950"/>
            <a:gd name="connsiteY11" fmla="*/ 209550 h 439488"/>
            <a:gd name="connsiteX12" fmla="*/ 885825 w 3409950"/>
            <a:gd name="connsiteY12" fmla="*/ 180975 h 439488"/>
            <a:gd name="connsiteX13" fmla="*/ 914400 w 3409950"/>
            <a:gd name="connsiteY13" fmla="*/ 171450 h 439488"/>
            <a:gd name="connsiteX14" fmla="*/ 952500 w 3409950"/>
            <a:gd name="connsiteY14" fmla="*/ 180975 h 439488"/>
            <a:gd name="connsiteX15" fmla="*/ 1038225 w 3409950"/>
            <a:gd name="connsiteY15" fmla="*/ 152400 h 439488"/>
            <a:gd name="connsiteX16" fmla="*/ 1114425 w 3409950"/>
            <a:gd name="connsiteY16" fmla="*/ 104775 h 439488"/>
            <a:gd name="connsiteX17" fmla="*/ 1171575 w 3409950"/>
            <a:gd name="connsiteY17" fmla="*/ 85725 h 439488"/>
            <a:gd name="connsiteX18" fmla="*/ 1219200 w 3409950"/>
            <a:gd name="connsiteY18" fmla="*/ 38100 h 439488"/>
            <a:gd name="connsiteX19" fmla="*/ 1247775 w 3409950"/>
            <a:gd name="connsiteY19" fmla="*/ 47625 h 439488"/>
            <a:gd name="connsiteX20" fmla="*/ 1276350 w 3409950"/>
            <a:gd name="connsiteY20" fmla="*/ 38100 h 439488"/>
            <a:gd name="connsiteX21" fmla="*/ 1390650 w 3409950"/>
            <a:gd name="connsiteY21" fmla="*/ 66675 h 439488"/>
            <a:gd name="connsiteX22" fmla="*/ 1447800 w 3409950"/>
            <a:gd name="connsiteY22" fmla="*/ 76200 h 439488"/>
            <a:gd name="connsiteX23" fmla="*/ 1476375 w 3409950"/>
            <a:gd name="connsiteY23" fmla="*/ 85725 h 439488"/>
            <a:gd name="connsiteX24" fmla="*/ 1628775 w 3409950"/>
            <a:gd name="connsiteY24" fmla="*/ 95250 h 439488"/>
            <a:gd name="connsiteX25" fmla="*/ 1733550 w 3409950"/>
            <a:gd name="connsiteY25" fmla="*/ 133350 h 439488"/>
            <a:gd name="connsiteX26" fmla="*/ 1781175 w 3409950"/>
            <a:gd name="connsiteY26" fmla="*/ 142875 h 439488"/>
            <a:gd name="connsiteX27" fmla="*/ 1838325 w 3409950"/>
            <a:gd name="connsiteY27" fmla="*/ 152400 h 439488"/>
            <a:gd name="connsiteX28" fmla="*/ 1933575 w 3409950"/>
            <a:gd name="connsiteY28" fmla="*/ 161925 h 439488"/>
            <a:gd name="connsiteX29" fmla="*/ 1952625 w 3409950"/>
            <a:gd name="connsiteY29" fmla="*/ 190500 h 439488"/>
            <a:gd name="connsiteX30" fmla="*/ 2009775 w 3409950"/>
            <a:gd name="connsiteY30" fmla="*/ 238125 h 439488"/>
            <a:gd name="connsiteX31" fmla="*/ 2028825 w 3409950"/>
            <a:gd name="connsiteY31" fmla="*/ 266700 h 439488"/>
            <a:gd name="connsiteX32" fmla="*/ 2066925 w 3409950"/>
            <a:gd name="connsiteY32" fmla="*/ 295275 h 439488"/>
            <a:gd name="connsiteX33" fmla="*/ 2152650 w 3409950"/>
            <a:gd name="connsiteY33" fmla="*/ 342900 h 439488"/>
            <a:gd name="connsiteX34" fmla="*/ 2200275 w 3409950"/>
            <a:gd name="connsiteY34" fmla="*/ 361950 h 439488"/>
            <a:gd name="connsiteX35" fmla="*/ 2295525 w 3409950"/>
            <a:gd name="connsiteY35" fmla="*/ 381000 h 439488"/>
            <a:gd name="connsiteX36" fmla="*/ 2324100 w 3409950"/>
            <a:gd name="connsiteY36" fmla="*/ 390525 h 439488"/>
            <a:gd name="connsiteX37" fmla="*/ 2409825 w 3409950"/>
            <a:gd name="connsiteY37" fmla="*/ 409575 h 439488"/>
            <a:gd name="connsiteX38" fmla="*/ 2505075 w 3409950"/>
            <a:gd name="connsiteY38" fmla="*/ 419100 h 439488"/>
            <a:gd name="connsiteX39" fmla="*/ 2657475 w 3409950"/>
            <a:gd name="connsiteY39" fmla="*/ 438150 h 439488"/>
            <a:gd name="connsiteX40" fmla="*/ 2939659 w 3409950"/>
            <a:gd name="connsiteY40" fmla="*/ 379368 h 439488"/>
            <a:gd name="connsiteX41" fmla="*/ 3058699 w 3409950"/>
            <a:gd name="connsiteY41" fmla="*/ 339907 h 439488"/>
            <a:gd name="connsiteX42" fmla="*/ 3179003 w 3409950"/>
            <a:gd name="connsiteY42" fmla="*/ 335280 h 439488"/>
            <a:gd name="connsiteX43" fmla="*/ 3284996 w 3409950"/>
            <a:gd name="connsiteY43" fmla="*/ 325756 h 439488"/>
            <a:gd name="connsiteX44" fmla="*/ 3371850 w 3409950"/>
            <a:gd name="connsiteY44" fmla="*/ 333375 h 439488"/>
            <a:gd name="connsiteX45" fmla="*/ 3409950 w 3409950"/>
            <a:gd name="connsiteY45" fmla="*/ 323850 h 439488"/>
            <a:gd name="connsiteX0" fmla="*/ 0 w 3433785"/>
            <a:gd name="connsiteY0" fmla="*/ 0 h 439488"/>
            <a:gd name="connsiteX1" fmla="*/ 85725 w 3433785"/>
            <a:gd name="connsiteY1" fmla="*/ 19050 h 439488"/>
            <a:gd name="connsiteX2" fmla="*/ 114300 w 3433785"/>
            <a:gd name="connsiteY2" fmla="*/ 28575 h 439488"/>
            <a:gd name="connsiteX3" fmla="*/ 200025 w 3433785"/>
            <a:gd name="connsiteY3" fmla="*/ 47625 h 439488"/>
            <a:gd name="connsiteX4" fmla="*/ 323850 w 3433785"/>
            <a:gd name="connsiteY4" fmla="*/ 9525 h 439488"/>
            <a:gd name="connsiteX5" fmla="*/ 419100 w 3433785"/>
            <a:gd name="connsiteY5" fmla="*/ 38100 h 439488"/>
            <a:gd name="connsiteX6" fmla="*/ 438150 w 3433785"/>
            <a:gd name="connsiteY6" fmla="*/ 76200 h 439488"/>
            <a:gd name="connsiteX7" fmla="*/ 485775 w 3433785"/>
            <a:gd name="connsiteY7" fmla="*/ 114300 h 439488"/>
            <a:gd name="connsiteX8" fmla="*/ 523875 w 3433785"/>
            <a:gd name="connsiteY8" fmla="*/ 152400 h 439488"/>
            <a:gd name="connsiteX9" fmla="*/ 552450 w 3433785"/>
            <a:gd name="connsiteY9" fmla="*/ 190500 h 439488"/>
            <a:gd name="connsiteX10" fmla="*/ 628650 w 3433785"/>
            <a:gd name="connsiteY10" fmla="*/ 200025 h 439488"/>
            <a:gd name="connsiteX11" fmla="*/ 762000 w 3433785"/>
            <a:gd name="connsiteY11" fmla="*/ 209550 h 439488"/>
            <a:gd name="connsiteX12" fmla="*/ 885825 w 3433785"/>
            <a:gd name="connsiteY12" fmla="*/ 180975 h 439488"/>
            <a:gd name="connsiteX13" fmla="*/ 914400 w 3433785"/>
            <a:gd name="connsiteY13" fmla="*/ 171450 h 439488"/>
            <a:gd name="connsiteX14" fmla="*/ 952500 w 3433785"/>
            <a:gd name="connsiteY14" fmla="*/ 180975 h 439488"/>
            <a:gd name="connsiteX15" fmla="*/ 1038225 w 3433785"/>
            <a:gd name="connsiteY15" fmla="*/ 152400 h 439488"/>
            <a:gd name="connsiteX16" fmla="*/ 1114425 w 3433785"/>
            <a:gd name="connsiteY16" fmla="*/ 104775 h 439488"/>
            <a:gd name="connsiteX17" fmla="*/ 1171575 w 3433785"/>
            <a:gd name="connsiteY17" fmla="*/ 85725 h 439488"/>
            <a:gd name="connsiteX18" fmla="*/ 1219200 w 3433785"/>
            <a:gd name="connsiteY18" fmla="*/ 38100 h 439488"/>
            <a:gd name="connsiteX19" fmla="*/ 1247775 w 3433785"/>
            <a:gd name="connsiteY19" fmla="*/ 47625 h 439488"/>
            <a:gd name="connsiteX20" fmla="*/ 1276350 w 3433785"/>
            <a:gd name="connsiteY20" fmla="*/ 38100 h 439488"/>
            <a:gd name="connsiteX21" fmla="*/ 1390650 w 3433785"/>
            <a:gd name="connsiteY21" fmla="*/ 66675 h 439488"/>
            <a:gd name="connsiteX22" fmla="*/ 1447800 w 3433785"/>
            <a:gd name="connsiteY22" fmla="*/ 76200 h 439488"/>
            <a:gd name="connsiteX23" fmla="*/ 1476375 w 3433785"/>
            <a:gd name="connsiteY23" fmla="*/ 85725 h 439488"/>
            <a:gd name="connsiteX24" fmla="*/ 1628775 w 3433785"/>
            <a:gd name="connsiteY24" fmla="*/ 95250 h 439488"/>
            <a:gd name="connsiteX25" fmla="*/ 1733550 w 3433785"/>
            <a:gd name="connsiteY25" fmla="*/ 133350 h 439488"/>
            <a:gd name="connsiteX26" fmla="*/ 1781175 w 3433785"/>
            <a:gd name="connsiteY26" fmla="*/ 142875 h 439488"/>
            <a:gd name="connsiteX27" fmla="*/ 1838325 w 3433785"/>
            <a:gd name="connsiteY27" fmla="*/ 152400 h 439488"/>
            <a:gd name="connsiteX28" fmla="*/ 1933575 w 3433785"/>
            <a:gd name="connsiteY28" fmla="*/ 161925 h 439488"/>
            <a:gd name="connsiteX29" fmla="*/ 1952625 w 3433785"/>
            <a:gd name="connsiteY29" fmla="*/ 190500 h 439488"/>
            <a:gd name="connsiteX30" fmla="*/ 2009775 w 3433785"/>
            <a:gd name="connsiteY30" fmla="*/ 238125 h 439488"/>
            <a:gd name="connsiteX31" fmla="*/ 2028825 w 3433785"/>
            <a:gd name="connsiteY31" fmla="*/ 266700 h 439488"/>
            <a:gd name="connsiteX32" fmla="*/ 2066925 w 3433785"/>
            <a:gd name="connsiteY32" fmla="*/ 295275 h 439488"/>
            <a:gd name="connsiteX33" fmla="*/ 2152650 w 3433785"/>
            <a:gd name="connsiteY33" fmla="*/ 342900 h 439488"/>
            <a:gd name="connsiteX34" fmla="*/ 2200275 w 3433785"/>
            <a:gd name="connsiteY34" fmla="*/ 361950 h 439488"/>
            <a:gd name="connsiteX35" fmla="*/ 2295525 w 3433785"/>
            <a:gd name="connsiteY35" fmla="*/ 381000 h 439488"/>
            <a:gd name="connsiteX36" fmla="*/ 2324100 w 3433785"/>
            <a:gd name="connsiteY36" fmla="*/ 390525 h 439488"/>
            <a:gd name="connsiteX37" fmla="*/ 2409825 w 3433785"/>
            <a:gd name="connsiteY37" fmla="*/ 409575 h 439488"/>
            <a:gd name="connsiteX38" fmla="*/ 2505075 w 3433785"/>
            <a:gd name="connsiteY38" fmla="*/ 419100 h 439488"/>
            <a:gd name="connsiteX39" fmla="*/ 2657475 w 3433785"/>
            <a:gd name="connsiteY39" fmla="*/ 438150 h 439488"/>
            <a:gd name="connsiteX40" fmla="*/ 2939659 w 3433785"/>
            <a:gd name="connsiteY40" fmla="*/ 379368 h 439488"/>
            <a:gd name="connsiteX41" fmla="*/ 3058699 w 3433785"/>
            <a:gd name="connsiteY41" fmla="*/ 339907 h 439488"/>
            <a:gd name="connsiteX42" fmla="*/ 3179003 w 3433785"/>
            <a:gd name="connsiteY42" fmla="*/ 335280 h 439488"/>
            <a:gd name="connsiteX43" fmla="*/ 3284996 w 3433785"/>
            <a:gd name="connsiteY43" fmla="*/ 325756 h 439488"/>
            <a:gd name="connsiteX44" fmla="*/ 3371850 w 3433785"/>
            <a:gd name="connsiteY44" fmla="*/ 333375 h 439488"/>
            <a:gd name="connsiteX45" fmla="*/ 3433785 w 3433785"/>
            <a:gd name="connsiteY45" fmla="*/ 359772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39907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284996 w 3371850"/>
            <a:gd name="connsiteY42" fmla="*/ 325756 h 439488"/>
            <a:gd name="connsiteX43" fmla="*/ 3371850 w 3371850"/>
            <a:gd name="connsiteY43" fmla="*/ 333375 h 439488"/>
            <a:gd name="connsiteX0" fmla="*/ 0 w 3284996"/>
            <a:gd name="connsiteY0" fmla="*/ 0 h 439488"/>
            <a:gd name="connsiteX1" fmla="*/ 85725 w 3284996"/>
            <a:gd name="connsiteY1" fmla="*/ 19050 h 439488"/>
            <a:gd name="connsiteX2" fmla="*/ 114300 w 3284996"/>
            <a:gd name="connsiteY2" fmla="*/ 28575 h 439488"/>
            <a:gd name="connsiteX3" fmla="*/ 200025 w 3284996"/>
            <a:gd name="connsiteY3" fmla="*/ 47625 h 439488"/>
            <a:gd name="connsiteX4" fmla="*/ 323850 w 3284996"/>
            <a:gd name="connsiteY4" fmla="*/ 9525 h 439488"/>
            <a:gd name="connsiteX5" fmla="*/ 419100 w 3284996"/>
            <a:gd name="connsiteY5" fmla="*/ 38100 h 439488"/>
            <a:gd name="connsiteX6" fmla="*/ 438150 w 3284996"/>
            <a:gd name="connsiteY6" fmla="*/ 76200 h 439488"/>
            <a:gd name="connsiteX7" fmla="*/ 485775 w 3284996"/>
            <a:gd name="connsiteY7" fmla="*/ 114300 h 439488"/>
            <a:gd name="connsiteX8" fmla="*/ 523875 w 3284996"/>
            <a:gd name="connsiteY8" fmla="*/ 152400 h 439488"/>
            <a:gd name="connsiteX9" fmla="*/ 552450 w 3284996"/>
            <a:gd name="connsiteY9" fmla="*/ 190500 h 439488"/>
            <a:gd name="connsiteX10" fmla="*/ 628650 w 3284996"/>
            <a:gd name="connsiteY10" fmla="*/ 200025 h 439488"/>
            <a:gd name="connsiteX11" fmla="*/ 762000 w 3284996"/>
            <a:gd name="connsiteY11" fmla="*/ 209550 h 439488"/>
            <a:gd name="connsiteX12" fmla="*/ 885825 w 3284996"/>
            <a:gd name="connsiteY12" fmla="*/ 180975 h 439488"/>
            <a:gd name="connsiteX13" fmla="*/ 914400 w 3284996"/>
            <a:gd name="connsiteY13" fmla="*/ 171450 h 439488"/>
            <a:gd name="connsiteX14" fmla="*/ 952500 w 3284996"/>
            <a:gd name="connsiteY14" fmla="*/ 180975 h 439488"/>
            <a:gd name="connsiteX15" fmla="*/ 1038225 w 3284996"/>
            <a:gd name="connsiteY15" fmla="*/ 152400 h 439488"/>
            <a:gd name="connsiteX16" fmla="*/ 1114425 w 3284996"/>
            <a:gd name="connsiteY16" fmla="*/ 104775 h 439488"/>
            <a:gd name="connsiteX17" fmla="*/ 1171575 w 3284996"/>
            <a:gd name="connsiteY17" fmla="*/ 85725 h 439488"/>
            <a:gd name="connsiteX18" fmla="*/ 1219200 w 3284996"/>
            <a:gd name="connsiteY18" fmla="*/ 38100 h 439488"/>
            <a:gd name="connsiteX19" fmla="*/ 1247775 w 3284996"/>
            <a:gd name="connsiteY19" fmla="*/ 47625 h 439488"/>
            <a:gd name="connsiteX20" fmla="*/ 1276350 w 3284996"/>
            <a:gd name="connsiteY20" fmla="*/ 38100 h 439488"/>
            <a:gd name="connsiteX21" fmla="*/ 1390650 w 3284996"/>
            <a:gd name="connsiteY21" fmla="*/ 66675 h 439488"/>
            <a:gd name="connsiteX22" fmla="*/ 1447800 w 3284996"/>
            <a:gd name="connsiteY22" fmla="*/ 76200 h 439488"/>
            <a:gd name="connsiteX23" fmla="*/ 1476375 w 3284996"/>
            <a:gd name="connsiteY23" fmla="*/ 85725 h 439488"/>
            <a:gd name="connsiteX24" fmla="*/ 1628775 w 3284996"/>
            <a:gd name="connsiteY24" fmla="*/ 95250 h 439488"/>
            <a:gd name="connsiteX25" fmla="*/ 1733550 w 3284996"/>
            <a:gd name="connsiteY25" fmla="*/ 133350 h 439488"/>
            <a:gd name="connsiteX26" fmla="*/ 1781175 w 3284996"/>
            <a:gd name="connsiteY26" fmla="*/ 142875 h 439488"/>
            <a:gd name="connsiteX27" fmla="*/ 1838325 w 3284996"/>
            <a:gd name="connsiteY27" fmla="*/ 152400 h 439488"/>
            <a:gd name="connsiteX28" fmla="*/ 1933575 w 3284996"/>
            <a:gd name="connsiteY28" fmla="*/ 161925 h 439488"/>
            <a:gd name="connsiteX29" fmla="*/ 1952625 w 3284996"/>
            <a:gd name="connsiteY29" fmla="*/ 190500 h 439488"/>
            <a:gd name="connsiteX30" fmla="*/ 2009775 w 3284996"/>
            <a:gd name="connsiteY30" fmla="*/ 238125 h 439488"/>
            <a:gd name="connsiteX31" fmla="*/ 2028825 w 3284996"/>
            <a:gd name="connsiteY31" fmla="*/ 266700 h 439488"/>
            <a:gd name="connsiteX32" fmla="*/ 2066925 w 3284996"/>
            <a:gd name="connsiteY32" fmla="*/ 295275 h 439488"/>
            <a:gd name="connsiteX33" fmla="*/ 2152650 w 3284996"/>
            <a:gd name="connsiteY33" fmla="*/ 342900 h 439488"/>
            <a:gd name="connsiteX34" fmla="*/ 2200275 w 3284996"/>
            <a:gd name="connsiteY34" fmla="*/ 361950 h 439488"/>
            <a:gd name="connsiteX35" fmla="*/ 2295525 w 3284996"/>
            <a:gd name="connsiteY35" fmla="*/ 381000 h 439488"/>
            <a:gd name="connsiteX36" fmla="*/ 2324100 w 3284996"/>
            <a:gd name="connsiteY36" fmla="*/ 390525 h 439488"/>
            <a:gd name="connsiteX37" fmla="*/ 2409825 w 3284996"/>
            <a:gd name="connsiteY37" fmla="*/ 409575 h 439488"/>
            <a:gd name="connsiteX38" fmla="*/ 2505075 w 3284996"/>
            <a:gd name="connsiteY38" fmla="*/ 419100 h 439488"/>
            <a:gd name="connsiteX39" fmla="*/ 2657475 w 3284996"/>
            <a:gd name="connsiteY39" fmla="*/ 438150 h 439488"/>
            <a:gd name="connsiteX40" fmla="*/ 2939659 w 3284996"/>
            <a:gd name="connsiteY40" fmla="*/ 379368 h 439488"/>
            <a:gd name="connsiteX41" fmla="*/ 3058699 w 3284996"/>
            <a:gd name="connsiteY41" fmla="*/ 321946 h 439488"/>
            <a:gd name="connsiteX42" fmla="*/ 3284996 w 3284996"/>
            <a:gd name="connsiteY42" fmla="*/ 325756 h 439488"/>
            <a:gd name="connsiteX0" fmla="*/ 0 w 3243285"/>
            <a:gd name="connsiteY0" fmla="*/ 0 h 439488"/>
            <a:gd name="connsiteX1" fmla="*/ 85725 w 3243285"/>
            <a:gd name="connsiteY1" fmla="*/ 19050 h 439488"/>
            <a:gd name="connsiteX2" fmla="*/ 114300 w 3243285"/>
            <a:gd name="connsiteY2" fmla="*/ 28575 h 439488"/>
            <a:gd name="connsiteX3" fmla="*/ 200025 w 3243285"/>
            <a:gd name="connsiteY3" fmla="*/ 47625 h 439488"/>
            <a:gd name="connsiteX4" fmla="*/ 323850 w 3243285"/>
            <a:gd name="connsiteY4" fmla="*/ 9525 h 439488"/>
            <a:gd name="connsiteX5" fmla="*/ 419100 w 3243285"/>
            <a:gd name="connsiteY5" fmla="*/ 38100 h 439488"/>
            <a:gd name="connsiteX6" fmla="*/ 438150 w 3243285"/>
            <a:gd name="connsiteY6" fmla="*/ 76200 h 439488"/>
            <a:gd name="connsiteX7" fmla="*/ 485775 w 3243285"/>
            <a:gd name="connsiteY7" fmla="*/ 114300 h 439488"/>
            <a:gd name="connsiteX8" fmla="*/ 523875 w 3243285"/>
            <a:gd name="connsiteY8" fmla="*/ 152400 h 439488"/>
            <a:gd name="connsiteX9" fmla="*/ 552450 w 3243285"/>
            <a:gd name="connsiteY9" fmla="*/ 190500 h 439488"/>
            <a:gd name="connsiteX10" fmla="*/ 628650 w 3243285"/>
            <a:gd name="connsiteY10" fmla="*/ 200025 h 439488"/>
            <a:gd name="connsiteX11" fmla="*/ 762000 w 3243285"/>
            <a:gd name="connsiteY11" fmla="*/ 209550 h 439488"/>
            <a:gd name="connsiteX12" fmla="*/ 885825 w 3243285"/>
            <a:gd name="connsiteY12" fmla="*/ 180975 h 439488"/>
            <a:gd name="connsiteX13" fmla="*/ 914400 w 3243285"/>
            <a:gd name="connsiteY13" fmla="*/ 171450 h 439488"/>
            <a:gd name="connsiteX14" fmla="*/ 952500 w 3243285"/>
            <a:gd name="connsiteY14" fmla="*/ 180975 h 439488"/>
            <a:gd name="connsiteX15" fmla="*/ 1038225 w 3243285"/>
            <a:gd name="connsiteY15" fmla="*/ 152400 h 439488"/>
            <a:gd name="connsiteX16" fmla="*/ 1114425 w 3243285"/>
            <a:gd name="connsiteY16" fmla="*/ 104775 h 439488"/>
            <a:gd name="connsiteX17" fmla="*/ 1171575 w 3243285"/>
            <a:gd name="connsiteY17" fmla="*/ 85725 h 439488"/>
            <a:gd name="connsiteX18" fmla="*/ 1219200 w 3243285"/>
            <a:gd name="connsiteY18" fmla="*/ 38100 h 439488"/>
            <a:gd name="connsiteX19" fmla="*/ 1247775 w 3243285"/>
            <a:gd name="connsiteY19" fmla="*/ 47625 h 439488"/>
            <a:gd name="connsiteX20" fmla="*/ 1276350 w 3243285"/>
            <a:gd name="connsiteY20" fmla="*/ 38100 h 439488"/>
            <a:gd name="connsiteX21" fmla="*/ 1390650 w 3243285"/>
            <a:gd name="connsiteY21" fmla="*/ 66675 h 439488"/>
            <a:gd name="connsiteX22" fmla="*/ 1447800 w 3243285"/>
            <a:gd name="connsiteY22" fmla="*/ 76200 h 439488"/>
            <a:gd name="connsiteX23" fmla="*/ 1476375 w 3243285"/>
            <a:gd name="connsiteY23" fmla="*/ 85725 h 439488"/>
            <a:gd name="connsiteX24" fmla="*/ 1628775 w 3243285"/>
            <a:gd name="connsiteY24" fmla="*/ 95250 h 439488"/>
            <a:gd name="connsiteX25" fmla="*/ 1733550 w 3243285"/>
            <a:gd name="connsiteY25" fmla="*/ 133350 h 439488"/>
            <a:gd name="connsiteX26" fmla="*/ 1781175 w 3243285"/>
            <a:gd name="connsiteY26" fmla="*/ 142875 h 439488"/>
            <a:gd name="connsiteX27" fmla="*/ 1838325 w 3243285"/>
            <a:gd name="connsiteY27" fmla="*/ 152400 h 439488"/>
            <a:gd name="connsiteX28" fmla="*/ 1933575 w 3243285"/>
            <a:gd name="connsiteY28" fmla="*/ 161925 h 439488"/>
            <a:gd name="connsiteX29" fmla="*/ 1952625 w 3243285"/>
            <a:gd name="connsiteY29" fmla="*/ 190500 h 439488"/>
            <a:gd name="connsiteX30" fmla="*/ 2009775 w 3243285"/>
            <a:gd name="connsiteY30" fmla="*/ 238125 h 439488"/>
            <a:gd name="connsiteX31" fmla="*/ 2028825 w 3243285"/>
            <a:gd name="connsiteY31" fmla="*/ 266700 h 439488"/>
            <a:gd name="connsiteX32" fmla="*/ 2066925 w 3243285"/>
            <a:gd name="connsiteY32" fmla="*/ 295275 h 439488"/>
            <a:gd name="connsiteX33" fmla="*/ 2152650 w 3243285"/>
            <a:gd name="connsiteY33" fmla="*/ 342900 h 439488"/>
            <a:gd name="connsiteX34" fmla="*/ 2200275 w 3243285"/>
            <a:gd name="connsiteY34" fmla="*/ 361950 h 439488"/>
            <a:gd name="connsiteX35" fmla="*/ 2295525 w 3243285"/>
            <a:gd name="connsiteY35" fmla="*/ 381000 h 439488"/>
            <a:gd name="connsiteX36" fmla="*/ 2324100 w 3243285"/>
            <a:gd name="connsiteY36" fmla="*/ 390525 h 439488"/>
            <a:gd name="connsiteX37" fmla="*/ 2409825 w 3243285"/>
            <a:gd name="connsiteY37" fmla="*/ 409575 h 439488"/>
            <a:gd name="connsiteX38" fmla="*/ 2505075 w 3243285"/>
            <a:gd name="connsiteY38" fmla="*/ 419100 h 439488"/>
            <a:gd name="connsiteX39" fmla="*/ 2657475 w 3243285"/>
            <a:gd name="connsiteY39" fmla="*/ 438150 h 439488"/>
            <a:gd name="connsiteX40" fmla="*/ 2939659 w 3243285"/>
            <a:gd name="connsiteY40" fmla="*/ 379368 h 439488"/>
            <a:gd name="connsiteX41" fmla="*/ 3058699 w 3243285"/>
            <a:gd name="connsiteY41" fmla="*/ 321946 h 439488"/>
            <a:gd name="connsiteX42" fmla="*/ 3243285 w 3243285"/>
            <a:gd name="connsiteY42" fmla="*/ 319769 h 439488"/>
            <a:gd name="connsiteX0" fmla="*/ 0 w 3225409"/>
            <a:gd name="connsiteY0" fmla="*/ 0 h 439488"/>
            <a:gd name="connsiteX1" fmla="*/ 85725 w 3225409"/>
            <a:gd name="connsiteY1" fmla="*/ 19050 h 439488"/>
            <a:gd name="connsiteX2" fmla="*/ 114300 w 3225409"/>
            <a:gd name="connsiteY2" fmla="*/ 28575 h 439488"/>
            <a:gd name="connsiteX3" fmla="*/ 200025 w 3225409"/>
            <a:gd name="connsiteY3" fmla="*/ 47625 h 439488"/>
            <a:gd name="connsiteX4" fmla="*/ 323850 w 3225409"/>
            <a:gd name="connsiteY4" fmla="*/ 9525 h 439488"/>
            <a:gd name="connsiteX5" fmla="*/ 419100 w 3225409"/>
            <a:gd name="connsiteY5" fmla="*/ 38100 h 439488"/>
            <a:gd name="connsiteX6" fmla="*/ 438150 w 3225409"/>
            <a:gd name="connsiteY6" fmla="*/ 76200 h 439488"/>
            <a:gd name="connsiteX7" fmla="*/ 485775 w 3225409"/>
            <a:gd name="connsiteY7" fmla="*/ 114300 h 439488"/>
            <a:gd name="connsiteX8" fmla="*/ 523875 w 3225409"/>
            <a:gd name="connsiteY8" fmla="*/ 152400 h 439488"/>
            <a:gd name="connsiteX9" fmla="*/ 552450 w 3225409"/>
            <a:gd name="connsiteY9" fmla="*/ 190500 h 439488"/>
            <a:gd name="connsiteX10" fmla="*/ 628650 w 3225409"/>
            <a:gd name="connsiteY10" fmla="*/ 200025 h 439488"/>
            <a:gd name="connsiteX11" fmla="*/ 762000 w 3225409"/>
            <a:gd name="connsiteY11" fmla="*/ 209550 h 439488"/>
            <a:gd name="connsiteX12" fmla="*/ 885825 w 3225409"/>
            <a:gd name="connsiteY12" fmla="*/ 180975 h 439488"/>
            <a:gd name="connsiteX13" fmla="*/ 914400 w 3225409"/>
            <a:gd name="connsiteY13" fmla="*/ 171450 h 439488"/>
            <a:gd name="connsiteX14" fmla="*/ 952500 w 3225409"/>
            <a:gd name="connsiteY14" fmla="*/ 180975 h 439488"/>
            <a:gd name="connsiteX15" fmla="*/ 1038225 w 3225409"/>
            <a:gd name="connsiteY15" fmla="*/ 152400 h 439488"/>
            <a:gd name="connsiteX16" fmla="*/ 1114425 w 3225409"/>
            <a:gd name="connsiteY16" fmla="*/ 104775 h 439488"/>
            <a:gd name="connsiteX17" fmla="*/ 1171575 w 3225409"/>
            <a:gd name="connsiteY17" fmla="*/ 85725 h 439488"/>
            <a:gd name="connsiteX18" fmla="*/ 1219200 w 3225409"/>
            <a:gd name="connsiteY18" fmla="*/ 38100 h 439488"/>
            <a:gd name="connsiteX19" fmla="*/ 1247775 w 3225409"/>
            <a:gd name="connsiteY19" fmla="*/ 47625 h 439488"/>
            <a:gd name="connsiteX20" fmla="*/ 1276350 w 3225409"/>
            <a:gd name="connsiteY20" fmla="*/ 38100 h 439488"/>
            <a:gd name="connsiteX21" fmla="*/ 1390650 w 3225409"/>
            <a:gd name="connsiteY21" fmla="*/ 66675 h 439488"/>
            <a:gd name="connsiteX22" fmla="*/ 1447800 w 3225409"/>
            <a:gd name="connsiteY22" fmla="*/ 76200 h 439488"/>
            <a:gd name="connsiteX23" fmla="*/ 1476375 w 3225409"/>
            <a:gd name="connsiteY23" fmla="*/ 85725 h 439488"/>
            <a:gd name="connsiteX24" fmla="*/ 1628775 w 3225409"/>
            <a:gd name="connsiteY24" fmla="*/ 95250 h 439488"/>
            <a:gd name="connsiteX25" fmla="*/ 1733550 w 3225409"/>
            <a:gd name="connsiteY25" fmla="*/ 133350 h 439488"/>
            <a:gd name="connsiteX26" fmla="*/ 1781175 w 3225409"/>
            <a:gd name="connsiteY26" fmla="*/ 142875 h 439488"/>
            <a:gd name="connsiteX27" fmla="*/ 1838325 w 3225409"/>
            <a:gd name="connsiteY27" fmla="*/ 152400 h 439488"/>
            <a:gd name="connsiteX28" fmla="*/ 1933575 w 3225409"/>
            <a:gd name="connsiteY28" fmla="*/ 161925 h 439488"/>
            <a:gd name="connsiteX29" fmla="*/ 1952625 w 3225409"/>
            <a:gd name="connsiteY29" fmla="*/ 190500 h 439488"/>
            <a:gd name="connsiteX30" fmla="*/ 2009775 w 3225409"/>
            <a:gd name="connsiteY30" fmla="*/ 238125 h 439488"/>
            <a:gd name="connsiteX31" fmla="*/ 2028825 w 3225409"/>
            <a:gd name="connsiteY31" fmla="*/ 266700 h 439488"/>
            <a:gd name="connsiteX32" fmla="*/ 2066925 w 3225409"/>
            <a:gd name="connsiteY32" fmla="*/ 295275 h 439488"/>
            <a:gd name="connsiteX33" fmla="*/ 2152650 w 3225409"/>
            <a:gd name="connsiteY33" fmla="*/ 342900 h 439488"/>
            <a:gd name="connsiteX34" fmla="*/ 2200275 w 3225409"/>
            <a:gd name="connsiteY34" fmla="*/ 361950 h 439488"/>
            <a:gd name="connsiteX35" fmla="*/ 2295525 w 3225409"/>
            <a:gd name="connsiteY35" fmla="*/ 381000 h 439488"/>
            <a:gd name="connsiteX36" fmla="*/ 2324100 w 3225409"/>
            <a:gd name="connsiteY36" fmla="*/ 390525 h 439488"/>
            <a:gd name="connsiteX37" fmla="*/ 2409825 w 3225409"/>
            <a:gd name="connsiteY37" fmla="*/ 409575 h 439488"/>
            <a:gd name="connsiteX38" fmla="*/ 2505075 w 3225409"/>
            <a:gd name="connsiteY38" fmla="*/ 419100 h 439488"/>
            <a:gd name="connsiteX39" fmla="*/ 2657475 w 3225409"/>
            <a:gd name="connsiteY39" fmla="*/ 438150 h 439488"/>
            <a:gd name="connsiteX40" fmla="*/ 2939659 w 3225409"/>
            <a:gd name="connsiteY40" fmla="*/ 379368 h 439488"/>
            <a:gd name="connsiteX41" fmla="*/ 3058699 w 3225409"/>
            <a:gd name="connsiteY41" fmla="*/ 321946 h 439488"/>
            <a:gd name="connsiteX42" fmla="*/ 3225409 w 3225409"/>
            <a:gd name="connsiteY42" fmla="*/ 331743 h 439488"/>
            <a:gd name="connsiteX0" fmla="*/ 0 w 3249244"/>
            <a:gd name="connsiteY0" fmla="*/ 0 h 439488"/>
            <a:gd name="connsiteX1" fmla="*/ 85725 w 3249244"/>
            <a:gd name="connsiteY1" fmla="*/ 19050 h 439488"/>
            <a:gd name="connsiteX2" fmla="*/ 114300 w 3249244"/>
            <a:gd name="connsiteY2" fmla="*/ 28575 h 439488"/>
            <a:gd name="connsiteX3" fmla="*/ 200025 w 3249244"/>
            <a:gd name="connsiteY3" fmla="*/ 47625 h 439488"/>
            <a:gd name="connsiteX4" fmla="*/ 323850 w 3249244"/>
            <a:gd name="connsiteY4" fmla="*/ 9525 h 439488"/>
            <a:gd name="connsiteX5" fmla="*/ 419100 w 3249244"/>
            <a:gd name="connsiteY5" fmla="*/ 38100 h 439488"/>
            <a:gd name="connsiteX6" fmla="*/ 438150 w 3249244"/>
            <a:gd name="connsiteY6" fmla="*/ 76200 h 439488"/>
            <a:gd name="connsiteX7" fmla="*/ 485775 w 3249244"/>
            <a:gd name="connsiteY7" fmla="*/ 114300 h 439488"/>
            <a:gd name="connsiteX8" fmla="*/ 523875 w 3249244"/>
            <a:gd name="connsiteY8" fmla="*/ 152400 h 439488"/>
            <a:gd name="connsiteX9" fmla="*/ 552450 w 3249244"/>
            <a:gd name="connsiteY9" fmla="*/ 190500 h 439488"/>
            <a:gd name="connsiteX10" fmla="*/ 628650 w 3249244"/>
            <a:gd name="connsiteY10" fmla="*/ 200025 h 439488"/>
            <a:gd name="connsiteX11" fmla="*/ 762000 w 3249244"/>
            <a:gd name="connsiteY11" fmla="*/ 209550 h 439488"/>
            <a:gd name="connsiteX12" fmla="*/ 885825 w 3249244"/>
            <a:gd name="connsiteY12" fmla="*/ 180975 h 439488"/>
            <a:gd name="connsiteX13" fmla="*/ 914400 w 3249244"/>
            <a:gd name="connsiteY13" fmla="*/ 171450 h 439488"/>
            <a:gd name="connsiteX14" fmla="*/ 952500 w 3249244"/>
            <a:gd name="connsiteY14" fmla="*/ 180975 h 439488"/>
            <a:gd name="connsiteX15" fmla="*/ 1038225 w 3249244"/>
            <a:gd name="connsiteY15" fmla="*/ 152400 h 439488"/>
            <a:gd name="connsiteX16" fmla="*/ 1114425 w 3249244"/>
            <a:gd name="connsiteY16" fmla="*/ 104775 h 439488"/>
            <a:gd name="connsiteX17" fmla="*/ 1171575 w 3249244"/>
            <a:gd name="connsiteY17" fmla="*/ 85725 h 439488"/>
            <a:gd name="connsiteX18" fmla="*/ 1219200 w 3249244"/>
            <a:gd name="connsiteY18" fmla="*/ 38100 h 439488"/>
            <a:gd name="connsiteX19" fmla="*/ 1247775 w 3249244"/>
            <a:gd name="connsiteY19" fmla="*/ 47625 h 439488"/>
            <a:gd name="connsiteX20" fmla="*/ 1276350 w 3249244"/>
            <a:gd name="connsiteY20" fmla="*/ 38100 h 439488"/>
            <a:gd name="connsiteX21" fmla="*/ 1390650 w 3249244"/>
            <a:gd name="connsiteY21" fmla="*/ 66675 h 439488"/>
            <a:gd name="connsiteX22" fmla="*/ 1447800 w 3249244"/>
            <a:gd name="connsiteY22" fmla="*/ 76200 h 439488"/>
            <a:gd name="connsiteX23" fmla="*/ 1476375 w 3249244"/>
            <a:gd name="connsiteY23" fmla="*/ 85725 h 439488"/>
            <a:gd name="connsiteX24" fmla="*/ 1628775 w 3249244"/>
            <a:gd name="connsiteY24" fmla="*/ 95250 h 439488"/>
            <a:gd name="connsiteX25" fmla="*/ 1733550 w 3249244"/>
            <a:gd name="connsiteY25" fmla="*/ 133350 h 439488"/>
            <a:gd name="connsiteX26" fmla="*/ 1781175 w 3249244"/>
            <a:gd name="connsiteY26" fmla="*/ 142875 h 439488"/>
            <a:gd name="connsiteX27" fmla="*/ 1838325 w 3249244"/>
            <a:gd name="connsiteY27" fmla="*/ 152400 h 439488"/>
            <a:gd name="connsiteX28" fmla="*/ 1933575 w 3249244"/>
            <a:gd name="connsiteY28" fmla="*/ 161925 h 439488"/>
            <a:gd name="connsiteX29" fmla="*/ 1952625 w 3249244"/>
            <a:gd name="connsiteY29" fmla="*/ 190500 h 439488"/>
            <a:gd name="connsiteX30" fmla="*/ 2009775 w 3249244"/>
            <a:gd name="connsiteY30" fmla="*/ 238125 h 439488"/>
            <a:gd name="connsiteX31" fmla="*/ 2028825 w 3249244"/>
            <a:gd name="connsiteY31" fmla="*/ 266700 h 439488"/>
            <a:gd name="connsiteX32" fmla="*/ 2066925 w 3249244"/>
            <a:gd name="connsiteY32" fmla="*/ 295275 h 439488"/>
            <a:gd name="connsiteX33" fmla="*/ 2152650 w 3249244"/>
            <a:gd name="connsiteY33" fmla="*/ 342900 h 439488"/>
            <a:gd name="connsiteX34" fmla="*/ 2200275 w 3249244"/>
            <a:gd name="connsiteY34" fmla="*/ 361950 h 439488"/>
            <a:gd name="connsiteX35" fmla="*/ 2295525 w 3249244"/>
            <a:gd name="connsiteY35" fmla="*/ 381000 h 439488"/>
            <a:gd name="connsiteX36" fmla="*/ 2324100 w 3249244"/>
            <a:gd name="connsiteY36" fmla="*/ 390525 h 439488"/>
            <a:gd name="connsiteX37" fmla="*/ 2409825 w 3249244"/>
            <a:gd name="connsiteY37" fmla="*/ 409575 h 439488"/>
            <a:gd name="connsiteX38" fmla="*/ 2505075 w 3249244"/>
            <a:gd name="connsiteY38" fmla="*/ 419100 h 439488"/>
            <a:gd name="connsiteX39" fmla="*/ 2657475 w 3249244"/>
            <a:gd name="connsiteY39" fmla="*/ 438150 h 439488"/>
            <a:gd name="connsiteX40" fmla="*/ 2939659 w 3249244"/>
            <a:gd name="connsiteY40" fmla="*/ 379368 h 439488"/>
            <a:gd name="connsiteX41" fmla="*/ 3058699 w 3249244"/>
            <a:gd name="connsiteY41" fmla="*/ 321946 h 439488"/>
            <a:gd name="connsiteX42" fmla="*/ 3249244 w 3249244"/>
            <a:gd name="connsiteY42" fmla="*/ 313781 h 439488"/>
            <a:gd name="connsiteX0" fmla="*/ 0 w 3163519"/>
            <a:gd name="connsiteY0" fmla="*/ 9525 h 429963"/>
            <a:gd name="connsiteX1" fmla="*/ 28575 w 3163519"/>
            <a:gd name="connsiteY1" fmla="*/ 19050 h 429963"/>
            <a:gd name="connsiteX2" fmla="*/ 114300 w 3163519"/>
            <a:gd name="connsiteY2" fmla="*/ 38100 h 429963"/>
            <a:gd name="connsiteX3" fmla="*/ 238125 w 3163519"/>
            <a:gd name="connsiteY3" fmla="*/ 0 h 429963"/>
            <a:gd name="connsiteX4" fmla="*/ 333375 w 3163519"/>
            <a:gd name="connsiteY4" fmla="*/ 28575 h 429963"/>
            <a:gd name="connsiteX5" fmla="*/ 352425 w 3163519"/>
            <a:gd name="connsiteY5" fmla="*/ 66675 h 429963"/>
            <a:gd name="connsiteX6" fmla="*/ 400050 w 3163519"/>
            <a:gd name="connsiteY6" fmla="*/ 104775 h 429963"/>
            <a:gd name="connsiteX7" fmla="*/ 438150 w 3163519"/>
            <a:gd name="connsiteY7" fmla="*/ 142875 h 429963"/>
            <a:gd name="connsiteX8" fmla="*/ 466725 w 3163519"/>
            <a:gd name="connsiteY8" fmla="*/ 180975 h 429963"/>
            <a:gd name="connsiteX9" fmla="*/ 542925 w 3163519"/>
            <a:gd name="connsiteY9" fmla="*/ 190500 h 429963"/>
            <a:gd name="connsiteX10" fmla="*/ 676275 w 3163519"/>
            <a:gd name="connsiteY10" fmla="*/ 200025 h 429963"/>
            <a:gd name="connsiteX11" fmla="*/ 800100 w 3163519"/>
            <a:gd name="connsiteY11" fmla="*/ 171450 h 429963"/>
            <a:gd name="connsiteX12" fmla="*/ 828675 w 3163519"/>
            <a:gd name="connsiteY12" fmla="*/ 161925 h 429963"/>
            <a:gd name="connsiteX13" fmla="*/ 866775 w 3163519"/>
            <a:gd name="connsiteY13" fmla="*/ 171450 h 429963"/>
            <a:gd name="connsiteX14" fmla="*/ 952500 w 3163519"/>
            <a:gd name="connsiteY14" fmla="*/ 142875 h 429963"/>
            <a:gd name="connsiteX15" fmla="*/ 1028700 w 3163519"/>
            <a:gd name="connsiteY15" fmla="*/ 95250 h 429963"/>
            <a:gd name="connsiteX16" fmla="*/ 1085850 w 3163519"/>
            <a:gd name="connsiteY16" fmla="*/ 76200 h 429963"/>
            <a:gd name="connsiteX17" fmla="*/ 1133475 w 3163519"/>
            <a:gd name="connsiteY17" fmla="*/ 28575 h 429963"/>
            <a:gd name="connsiteX18" fmla="*/ 1162050 w 3163519"/>
            <a:gd name="connsiteY18" fmla="*/ 38100 h 429963"/>
            <a:gd name="connsiteX19" fmla="*/ 1190625 w 3163519"/>
            <a:gd name="connsiteY19" fmla="*/ 28575 h 429963"/>
            <a:gd name="connsiteX20" fmla="*/ 1304925 w 3163519"/>
            <a:gd name="connsiteY20" fmla="*/ 57150 h 429963"/>
            <a:gd name="connsiteX21" fmla="*/ 1362075 w 3163519"/>
            <a:gd name="connsiteY21" fmla="*/ 66675 h 429963"/>
            <a:gd name="connsiteX22" fmla="*/ 1390650 w 3163519"/>
            <a:gd name="connsiteY22" fmla="*/ 76200 h 429963"/>
            <a:gd name="connsiteX23" fmla="*/ 1543050 w 3163519"/>
            <a:gd name="connsiteY23" fmla="*/ 85725 h 429963"/>
            <a:gd name="connsiteX24" fmla="*/ 1647825 w 3163519"/>
            <a:gd name="connsiteY24" fmla="*/ 123825 h 429963"/>
            <a:gd name="connsiteX25" fmla="*/ 1695450 w 3163519"/>
            <a:gd name="connsiteY25" fmla="*/ 133350 h 429963"/>
            <a:gd name="connsiteX26" fmla="*/ 1752600 w 3163519"/>
            <a:gd name="connsiteY26" fmla="*/ 142875 h 429963"/>
            <a:gd name="connsiteX27" fmla="*/ 1847850 w 3163519"/>
            <a:gd name="connsiteY27" fmla="*/ 152400 h 429963"/>
            <a:gd name="connsiteX28" fmla="*/ 1866900 w 3163519"/>
            <a:gd name="connsiteY28" fmla="*/ 180975 h 429963"/>
            <a:gd name="connsiteX29" fmla="*/ 1924050 w 3163519"/>
            <a:gd name="connsiteY29" fmla="*/ 228600 h 429963"/>
            <a:gd name="connsiteX30" fmla="*/ 1943100 w 3163519"/>
            <a:gd name="connsiteY30" fmla="*/ 257175 h 429963"/>
            <a:gd name="connsiteX31" fmla="*/ 1981200 w 3163519"/>
            <a:gd name="connsiteY31" fmla="*/ 285750 h 429963"/>
            <a:gd name="connsiteX32" fmla="*/ 2066925 w 3163519"/>
            <a:gd name="connsiteY32" fmla="*/ 333375 h 429963"/>
            <a:gd name="connsiteX33" fmla="*/ 2114550 w 3163519"/>
            <a:gd name="connsiteY33" fmla="*/ 352425 h 429963"/>
            <a:gd name="connsiteX34" fmla="*/ 2209800 w 3163519"/>
            <a:gd name="connsiteY34" fmla="*/ 371475 h 429963"/>
            <a:gd name="connsiteX35" fmla="*/ 2238375 w 3163519"/>
            <a:gd name="connsiteY35" fmla="*/ 381000 h 429963"/>
            <a:gd name="connsiteX36" fmla="*/ 2324100 w 3163519"/>
            <a:gd name="connsiteY36" fmla="*/ 400050 h 429963"/>
            <a:gd name="connsiteX37" fmla="*/ 2419350 w 3163519"/>
            <a:gd name="connsiteY37" fmla="*/ 409575 h 429963"/>
            <a:gd name="connsiteX38" fmla="*/ 2571750 w 3163519"/>
            <a:gd name="connsiteY38" fmla="*/ 428625 h 429963"/>
            <a:gd name="connsiteX39" fmla="*/ 2853934 w 3163519"/>
            <a:gd name="connsiteY39" fmla="*/ 369843 h 429963"/>
            <a:gd name="connsiteX40" fmla="*/ 2972974 w 3163519"/>
            <a:gd name="connsiteY40" fmla="*/ 312421 h 429963"/>
            <a:gd name="connsiteX41" fmla="*/ 3163519 w 3163519"/>
            <a:gd name="connsiteY41" fmla="*/ 304256 h 429963"/>
            <a:gd name="connsiteX0" fmla="*/ 0 w 3134944"/>
            <a:gd name="connsiteY0" fmla="*/ 19050 h 429963"/>
            <a:gd name="connsiteX1" fmla="*/ 85725 w 3134944"/>
            <a:gd name="connsiteY1" fmla="*/ 38100 h 429963"/>
            <a:gd name="connsiteX2" fmla="*/ 209550 w 3134944"/>
            <a:gd name="connsiteY2" fmla="*/ 0 h 429963"/>
            <a:gd name="connsiteX3" fmla="*/ 304800 w 3134944"/>
            <a:gd name="connsiteY3" fmla="*/ 28575 h 429963"/>
            <a:gd name="connsiteX4" fmla="*/ 323850 w 3134944"/>
            <a:gd name="connsiteY4" fmla="*/ 66675 h 429963"/>
            <a:gd name="connsiteX5" fmla="*/ 371475 w 3134944"/>
            <a:gd name="connsiteY5" fmla="*/ 104775 h 429963"/>
            <a:gd name="connsiteX6" fmla="*/ 409575 w 3134944"/>
            <a:gd name="connsiteY6" fmla="*/ 142875 h 429963"/>
            <a:gd name="connsiteX7" fmla="*/ 438150 w 3134944"/>
            <a:gd name="connsiteY7" fmla="*/ 180975 h 429963"/>
            <a:gd name="connsiteX8" fmla="*/ 514350 w 3134944"/>
            <a:gd name="connsiteY8" fmla="*/ 190500 h 429963"/>
            <a:gd name="connsiteX9" fmla="*/ 647700 w 3134944"/>
            <a:gd name="connsiteY9" fmla="*/ 200025 h 429963"/>
            <a:gd name="connsiteX10" fmla="*/ 771525 w 3134944"/>
            <a:gd name="connsiteY10" fmla="*/ 171450 h 429963"/>
            <a:gd name="connsiteX11" fmla="*/ 800100 w 3134944"/>
            <a:gd name="connsiteY11" fmla="*/ 161925 h 429963"/>
            <a:gd name="connsiteX12" fmla="*/ 838200 w 3134944"/>
            <a:gd name="connsiteY12" fmla="*/ 171450 h 429963"/>
            <a:gd name="connsiteX13" fmla="*/ 923925 w 3134944"/>
            <a:gd name="connsiteY13" fmla="*/ 142875 h 429963"/>
            <a:gd name="connsiteX14" fmla="*/ 1000125 w 3134944"/>
            <a:gd name="connsiteY14" fmla="*/ 95250 h 429963"/>
            <a:gd name="connsiteX15" fmla="*/ 1057275 w 3134944"/>
            <a:gd name="connsiteY15" fmla="*/ 76200 h 429963"/>
            <a:gd name="connsiteX16" fmla="*/ 1104900 w 3134944"/>
            <a:gd name="connsiteY16" fmla="*/ 28575 h 429963"/>
            <a:gd name="connsiteX17" fmla="*/ 1133475 w 3134944"/>
            <a:gd name="connsiteY17" fmla="*/ 38100 h 429963"/>
            <a:gd name="connsiteX18" fmla="*/ 1162050 w 3134944"/>
            <a:gd name="connsiteY18" fmla="*/ 28575 h 429963"/>
            <a:gd name="connsiteX19" fmla="*/ 1276350 w 3134944"/>
            <a:gd name="connsiteY19" fmla="*/ 57150 h 429963"/>
            <a:gd name="connsiteX20" fmla="*/ 1333500 w 3134944"/>
            <a:gd name="connsiteY20" fmla="*/ 66675 h 429963"/>
            <a:gd name="connsiteX21" fmla="*/ 1362075 w 3134944"/>
            <a:gd name="connsiteY21" fmla="*/ 76200 h 429963"/>
            <a:gd name="connsiteX22" fmla="*/ 1514475 w 3134944"/>
            <a:gd name="connsiteY22" fmla="*/ 85725 h 429963"/>
            <a:gd name="connsiteX23" fmla="*/ 1619250 w 3134944"/>
            <a:gd name="connsiteY23" fmla="*/ 123825 h 429963"/>
            <a:gd name="connsiteX24" fmla="*/ 1666875 w 3134944"/>
            <a:gd name="connsiteY24" fmla="*/ 133350 h 429963"/>
            <a:gd name="connsiteX25" fmla="*/ 1724025 w 3134944"/>
            <a:gd name="connsiteY25" fmla="*/ 142875 h 429963"/>
            <a:gd name="connsiteX26" fmla="*/ 1819275 w 3134944"/>
            <a:gd name="connsiteY26" fmla="*/ 152400 h 429963"/>
            <a:gd name="connsiteX27" fmla="*/ 1838325 w 3134944"/>
            <a:gd name="connsiteY27" fmla="*/ 180975 h 429963"/>
            <a:gd name="connsiteX28" fmla="*/ 1895475 w 3134944"/>
            <a:gd name="connsiteY28" fmla="*/ 228600 h 429963"/>
            <a:gd name="connsiteX29" fmla="*/ 1914525 w 3134944"/>
            <a:gd name="connsiteY29" fmla="*/ 257175 h 429963"/>
            <a:gd name="connsiteX30" fmla="*/ 1952625 w 3134944"/>
            <a:gd name="connsiteY30" fmla="*/ 285750 h 429963"/>
            <a:gd name="connsiteX31" fmla="*/ 2038350 w 3134944"/>
            <a:gd name="connsiteY31" fmla="*/ 333375 h 429963"/>
            <a:gd name="connsiteX32" fmla="*/ 2085975 w 3134944"/>
            <a:gd name="connsiteY32" fmla="*/ 352425 h 429963"/>
            <a:gd name="connsiteX33" fmla="*/ 2181225 w 3134944"/>
            <a:gd name="connsiteY33" fmla="*/ 371475 h 429963"/>
            <a:gd name="connsiteX34" fmla="*/ 2209800 w 3134944"/>
            <a:gd name="connsiteY34" fmla="*/ 381000 h 429963"/>
            <a:gd name="connsiteX35" fmla="*/ 2295525 w 3134944"/>
            <a:gd name="connsiteY35" fmla="*/ 400050 h 429963"/>
            <a:gd name="connsiteX36" fmla="*/ 2390775 w 3134944"/>
            <a:gd name="connsiteY36" fmla="*/ 409575 h 429963"/>
            <a:gd name="connsiteX37" fmla="*/ 2543175 w 3134944"/>
            <a:gd name="connsiteY37" fmla="*/ 428625 h 429963"/>
            <a:gd name="connsiteX38" fmla="*/ 2825359 w 3134944"/>
            <a:gd name="connsiteY38" fmla="*/ 369843 h 429963"/>
            <a:gd name="connsiteX39" fmla="*/ 2944399 w 3134944"/>
            <a:gd name="connsiteY39" fmla="*/ 312421 h 429963"/>
            <a:gd name="connsiteX40" fmla="*/ 3134944 w 3134944"/>
            <a:gd name="connsiteY40" fmla="*/ 304256 h 429963"/>
            <a:gd name="connsiteX0" fmla="*/ 0 w 3134944"/>
            <a:gd name="connsiteY0" fmla="*/ 19156 h 430069"/>
            <a:gd name="connsiteX1" fmla="*/ 209550 w 3134944"/>
            <a:gd name="connsiteY1" fmla="*/ 106 h 430069"/>
            <a:gd name="connsiteX2" fmla="*/ 304800 w 3134944"/>
            <a:gd name="connsiteY2" fmla="*/ 28681 h 430069"/>
            <a:gd name="connsiteX3" fmla="*/ 323850 w 3134944"/>
            <a:gd name="connsiteY3" fmla="*/ 66781 h 430069"/>
            <a:gd name="connsiteX4" fmla="*/ 371475 w 3134944"/>
            <a:gd name="connsiteY4" fmla="*/ 104881 h 430069"/>
            <a:gd name="connsiteX5" fmla="*/ 409575 w 3134944"/>
            <a:gd name="connsiteY5" fmla="*/ 142981 h 430069"/>
            <a:gd name="connsiteX6" fmla="*/ 438150 w 3134944"/>
            <a:gd name="connsiteY6" fmla="*/ 181081 h 430069"/>
            <a:gd name="connsiteX7" fmla="*/ 514350 w 3134944"/>
            <a:gd name="connsiteY7" fmla="*/ 190606 h 430069"/>
            <a:gd name="connsiteX8" fmla="*/ 647700 w 3134944"/>
            <a:gd name="connsiteY8" fmla="*/ 200131 h 430069"/>
            <a:gd name="connsiteX9" fmla="*/ 771525 w 3134944"/>
            <a:gd name="connsiteY9" fmla="*/ 171556 h 430069"/>
            <a:gd name="connsiteX10" fmla="*/ 800100 w 3134944"/>
            <a:gd name="connsiteY10" fmla="*/ 162031 h 430069"/>
            <a:gd name="connsiteX11" fmla="*/ 838200 w 3134944"/>
            <a:gd name="connsiteY11" fmla="*/ 171556 h 430069"/>
            <a:gd name="connsiteX12" fmla="*/ 923925 w 3134944"/>
            <a:gd name="connsiteY12" fmla="*/ 142981 h 430069"/>
            <a:gd name="connsiteX13" fmla="*/ 1000125 w 3134944"/>
            <a:gd name="connsiteY13" fmla="*/ 95356 h 430069"/>
            <a:gd name="connsiteX14" fmla="*/ 1057275 w 3134944"/>
            <a:gd name="connsiteY14" fmla="*/ 76306 h 430069"/>
            <a:gd name="connsiteX15" fmla="*/ 1104900 w 3134944"/>
            <a:gd name="connsiteY15" fmla="*/ 28681 h 430069"/>
            <a:gd name="connsiteX16" fmla="*/ 1133475 w 3134944"/>
            <a:gd name="connsiteY16" fmla="*/ 38206 h 430069"/>
            <a:gd name="connsiteX17" fmla="*/ 1162050 w 3134944"/>
            <a:gd name="connsiteY17" fmla="*/ 28681 h 430069"/>
            <a:gd name="connsiteX18" fmla="*/ 1276350 w 3134944"/>
            <a:gd name="connsiteY18" fmla="*/ 57256 h 430069"/>
            <a:gd name="connsiteX19" fmla="*/ 1333500 w 3134944"/>
            <a:gd name="connsiteY19" fmla="*/ 66781 h 430069"/>
            <a:gd name="connsiteX20" fmla="*/ 1362075 w 3134944"/>
            <a:gd name="connsiteY20" fmla="*/ 76306 h 430069"/>
            <a:gd name="connsiteX21" fmla="*/ 1514475 w 3134944"/>
            <a:gd name="connsiteY21" fmla="*/ 85831 h 430069"/>
            <a:gd name="connsiteX22" fmla="*/ 1619250 w 3134944"/>
            <a:gd name="connsiteY22" fmla="*/ 123931 h 430069"/>
            <a:gd name="connsiteX23" fmla="*/ 1666875 w 3134944"/>
            <a:gd name="connsiteY23" fmla="*/ 133456 h 430069"/>
            <a:gd name="connsiteX24" fmla="*/ 1724025 w 3134944"/>
            <a:gd name="connsiteY24" fmla="*/ 142981 h 430069"/>
            <a:gd name="connsiteX25" fmla="*/ 1819275 w 3134944"/>
            <a:gd name="connsiteY25" fmla="*/ 152506 h 430069"/>
            <a:gd name="connsiteX26" fmla="*/ 1838325 w 3134944"/>
            <a:gd name="connsiteY26" fmla="*/ 181081 h 430069"/>
            <a:gd name="connsiteX27" fmla="*/ 1895475 w 3134944"/>
            <a:gd name="connsiteY27" fmla="*/ 228706 h 430069"/>
            <a:gd name="connsiteX28" fmla="*/ 1914525 w 3134944"/>
            <a:gd name="connsiteY28" fmla="*/ 257281 h 430069"/>
            <a:gd name="connsiteX29" fmla="*/ 1952625 w 3134944"/>
            <a:gd name="connsiteY29" fmla="*/ 285856 h 430069"/>
            <a:gd name="connsiteX30" fmla="*/ 2038350 w 3134944"/>
            <a:gd name="connsiteY30" fmla="*/ 333481 h 430069"/>
            <a:gd name="connsiteX31" fmla="*/ 2085975 w 3134944"/>
            <a:gd name="connsiteY31" fmla="*/ 352531 h 430069"/>
            <a:gd name="connsiteX32" fmla="*/ 2181225 w 3134944"/>
            <a:gd name="connsiteY32" fmla="*/ 371581 h 430069"/>
            <a:gd name="connsiteX33" fmla="*/ 2209800 w 3134944"/>
            <a:gd name="connsiteY33" fmla="*/ 381106 h 430069"/>
            <a:gd name="connsiteX34" fmla="*/ 2295525 w 3134944"/>
            <a:gd name="connsiteY34" fmla="*/ 400156 h 430069"/>
            <a:gd name="connsiteX35" fmla="*/ 2390775 w 3134944"/>
            <a:gd name="connsiteY35" fmla="*/ 409681 h 430069"/>
            <a:gd name="connsiteX36" fmla="*/ 2543175 w 3134944"/>
            <a:gd name="connsiteY36" fmla="*/ 428731 h 430069"/>
            <a:gd name="connsiteX37" fmla="*/ 2825359 w 3134944"/>
            <a:gd name="connsiteY37" fmla="*/ 369949 h 430069"/>
            <a:gd name="connsiteX38" fmla="*/ 2944399 w 3134944"/>
            <a:gd name="connsiteY38" fmla="*/ 312527 h 430069"/>
            <a:gd name="connsiteX39" fmla="*/ 3134944 w 3134944"/>
            <a:gd name="connsiteY39" fmla="*/ 304362 h 430069"/>
            <a:gd name="connsiteX0" fmla="*/ 0 w 3094599"/>
            <a:gd name="connsiteY0" fmla="*/ 2642 h 431489"/>
            <a:gd name="connsiteX1" fmla="*/ 169205 w 3094599"/>
            <a:gd name="connsiteY1" fmla="*/ 1526 h 431489"/>
            <a:gd name="connsiteX2" fmla="*/ 264455 w 3094599"/>
            <a:gd name="connsiteY2" fmla="*/ 30101 h 431489"/>
            <a:gd name="connsiteX3" fmla="*/ 283505 w 3094599"/>
            <a:gd name="connsiteY3" fmla="*/ 68201 h 431489"/>
            <a:gd name="connsiteX4" fmla="*/ 331130 w 3094599"/>
            <a:gd name="connsiteY4" fmla="*/ 106301 h 431489"/>
            <a:gd name="connsiteX5" fmla="*/ 369230 w 3094599"/>
            <a:gd name="connsiteY5" fmla="*/ 144401 h 431489"/>
            <a:gd name="connsiteX6" fmla="*/ 397805 w 3094599"/>
            <a:gd name="connsiteY6" fmla="*/ 182501 h 431489"/>
            <a:gd name="connsiteX7" fmla="*/ 474005 w 3094599"/>
            <a:gd name="connsiteY7" fmla="*/ 192026 h 431489"/>
            <a:gd name="connsiteX8" fmla="*/ 607355 w 3094599"/>
            <a:gd name="connsiteY8" fmla="*/ 201551 h 431489"/>
            <a:gd name="connsiteX9" fmla="*/ 731180 w 3094599"/>
            <a:gd name="connsiteY9" fmla="*/ 172976 h 431489"/>
            <a:gd name="connsiteX10" fmla="*/ 759755 w 3094599"/>
            <a:gd name="connsiteY10" fmla="*/ 163451 h 431489"/>
            <a:gd name="connsiteX11" fmla="*/ 797855 w 3094599"/>
            <a:gd name="connsiteY11" fmla="*/ 172976 h 431489"/>
            <a:gd name="connsiteX12" fmla="*/ 883580 w 3094599"/>
            <a:gd name="connsiteY12" fmla="*/ 144401 h 431489"/>
            <a:gd name="connsiteX13" fmla="*/ 959780 w 3094599"/>
            <a:gd name="connsiteY13" fmla="*/ 96776 h 431489"/>
            <a:gd name="connsiteX14" fmla="*/ 1016930 w 3094599"/>
            <a:gd name="connsiteY14" fmla="*/ 77726 h 431489"/>
            <a:gd name="connsiteX15" fmla="*/ 1064555 w 3094599"/>
            <a:gd name="connsiteY15" fmla="*/ 30101 h 431489"/>
            <a:gd name="connsiteX16" fmla="*/ 1093130 w 3094599"/>
            <a:gd name="connsiteY16" fmla="*/ 39626 h 431489"/>
            <a:gd name="connsiteX17" fmla="*/ 1121705 w 3094599"/>
            <a:gd name="connsiteY17" fmla="*/ 30101 h 431489"/>
            <a:gd name="connsiteX18" fmla="*/ 1236005 w 3094599"/>
            <a:gd name="connsiteY18" fmla="*/ 58676 h 431489"/>
            <a:gd name="connsiteX19" fmla="*/ 1293155 w 3094599"/>
            <a:gd name="connsiteY19" fmla="*/ 68201 h 431489"/>
            <a:gd name="connsiteX20" fmla="*/ 1321730 w 3094599"/>
            <a:gd name="connsiteY20" fmla="*/ 77726 h 431489"/>
            <a:gd name="connsiteX21" fmla="*/ 1474130 w 3094599"/>
            <a:gd name="connsiteY21" fmla="*/ 87251 h 431489"/>
            <a:gd name="connsiteX22" fmla="*/ 1578905 w 3094599"/>
            <a:gd name="connsiteY22" fmla="*/ 125351 h 431489"/>
            <a:gd name="connsiteX23" fmla="*/ 1626530 w 3094599"/>
            <a:gd name="connsiteY23" fmla="*/ 134876 h 431489"/>
            <a:gd name="connsiteX24" fmla="*/ 1683680 w 3094599"/>
            <a:gd name="connsiteY24" fmla="*/ 144401 h 431489"/>
            <a:gd name="connsiteX25" fmla="*/ 1778930 w 3094599"/>
            <a:gd name="connsiteY25" fmla="*/ 153926 h 431489"/>
            <a:gd name="connsiteX26" fmla="*/ 1797980 w 3094599"/>
            <a:gd name="connsiteY26" fmla="*/ 182501 h 431489"/>
            <a:gd name="connsiteX27" fmla="*/ 1855130 w 3094599"/>
            <a:gd name="connsiteY27" fmla="*/ 230126 h 431489"/>
            <a:gd name="connsiteX28" fmla="*/ 1874180 w 3094599"/>
            <a:gd name="connsiteY28" fmla="*/ 258701 h 431489"/>
            <a:gd name="connsiteX29" fmla="*/ 1912280 w 3094599"/>
            <a:gd name="connsiteY29" fmla="*/ 287276 h 431489"/>
            <a:gd name="connsiteX30" fmla="*/ 1998005 w 3094599"/>
            <a:gd name="connsiteY30" fmla="*/ 334901 h 431489"/>
            <a:gd name="connsiteX31" fmla="*/ 2045630 w 3094599"/>
            <a:gd name="connsiteY31" fmla="*/ 353951 h 431489"/>
            <a:gd name="connsiteX32" fmla="*/ 2140880 w 3094599"/>
            <a:gd name="connsiteY32" fmla="*/ 373001 h 431489"/>
            <a:gd name="connsiteX33" fmla="*/ 2169455 w 3094599"/>
            <a:gd name="connsiteY33" fmla="*/ 382526 h 431489"/>
            <a:gd name="connsiteX34" fmla="*/ 2255180 w 3094599"/>
            <a:gd name="connsiteY34" fmla="*/ 401576 h 431489"/>
            <a:gd name="connsiteX35" fmla="*/ 2350430 w 3094599"/>
            <a:gd name="connsiteY35" fmla="*/ 411101 h 431489"/>
            <a:gd name="connsiteX36" fmla="*/ 2502830 w 3094599"/>
            <a:gd name="connsiteY36" fmla="*/ 430151 h 431489"/>
            <a:gd name="connsiteX37" fmla="*/ 2785014 w 3094599"/>
            <a:gd name="connsiteY37" fmla="*/ 371369 h 431489"/>
            <a:gd name="connsiteX38" fmla="*/ 2904054 w 3094599"/>
            <a:gd name="connsiteY38" fmla="*/ 313947 h 431489"/>
            <a:gd name="connsiteX39" fmla="*/ 3094599 w 3094599"/>
            <a:gd name="connsiteY39" fmla="*/ 305782 h 431489"/>
            <a:gd name="connsiteX0" fmla="*/ 0 w 3069383"/>
            <a:gd name="connsiteY0" fmla="*/ 739 h 441542"/>
            <a:gd name="connsiteX1" fmla="*/ 143989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82791 w 3069383"/>
            <a:gd name="connsiteY28" fmla="*/ 226589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77959 w 3069383"/>
            <a:gd name="connsiteY28" fmla="*/ 200236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88706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59509 w 3069383"/>
            <a:gd name="connsiteY37" fmla="*/ 287106 h 441542"/>
            <a:gd name="connsiteX38" fmla="*/ 3069383 w 3069383"/>
            <a:gd name="connsiteY38" fmla="*/ 315835 h 441542"/>
            <a:gd name="connsiteX0" fmla="*/ 0 w 3069383"/>
            <a:gd name="connsiteY0" fmla="*/ 739 h 441026"/>
            <a:gd name="connsiteX1" fmla="*/ 197146 w 3069383"/>
            <a:gd name="connsiteY1" fmla="*/ 11579 h 441026"/>
            <a:gd name="connsiteX2" fmla="*/ 239239 w 3069383"/>
            <a:gd name="connsiteY2" fmla="*/ 40154 h 441026"/>
            <a:gd name="connsiteX3" fmla="*/ 258289 w 3069383"/>
            <a:gd name="connsiteY3" fmla="*/ 78254 h 441026"/>
            <a:gd name="connsiteX4" fmla="*/ 305914 w 3069383"/>
            <a:gd name="connsiteY4" fmla="*/ 116354 h 441026"/>
            <a:gd name="connsiteX5" fmla="*/ 344014 w 3069383"/>
            <a:gd name="connsiteY5" fmla="*/ 154454 h 441026"/>
            <a:gd name="connsiteX6" fmla="*/ 372589 w 3069383"/>
            <a:gd name="connsiteY6" fmla="*/ 192554 h 441026"/>
            <a:gd name="connsiteX7" fmla="*/ 448789 w 3069383"/>
            <a:gd name="connsiteY7" fmla="*/ 202079 h 441026"/>
            <a:gd name="connsiteX8" fmla="*/ 582139 w 3069383"/>
            <a:gd name="connsiteY8" fmla="*/ 211604 h 441026"/>
            <a:gd name="connsiteX9" fmla="*/ 705964 w 3069383"/>
            <a:gd name="connsiteY9" fmla="*/ 183029 h 441026"/>
            <a:gd name="connsiteX10" fmla="*/ 734539 w 3069383"/>
            <a:gd name="connsiteY10" fmla="*/ 173504 h 441026"/>
            <a:gd name="connsiteX11" fmla="*/ 772639 w 3069383"/>
            <a:gd name="connsiteY11" fmla="*/ 183029 h 441026"/>
            <a:gd name="connsiteX12" fmla="*/ 858364 w 3069383"/>
            <a:gd name="connsiteY12" fmla="*/ 154454 h 441026"/>
            <a:gd name="connsiteX13" fmla="*/ 934564 w 3069383"/>
            <a:gd name="connsiteY13" fmla="*/ 106829 h 441026"/>
            <a:gd name="connsiteX14" fmla="*/ 991714 w 3069383"/>
            <a:gd name="connsiteY14" fmla="*/ 87779 h 441026"/>
            <a:gd name="connsiteX15" fmla="*/ 1039339 w 3069383"/>
            <a:gd name="connsiteY15" fmla="*/ 40154 h 441026"/>
            <a:gd name="connsiteX16" fmla="*/ 1067914 w 3069383"/>
            <a:gd name="connsiteY16" fmla="*/ 49679 h 441026"/>
            <a:gd name="connsiteX17" fmla="*/ 1096489 w 3069383"/>
            <a:gd name="connsiteY17" fmla="*/ 40154 h 441026"/>
            <a:gd name="connsiteX18" fmla="*/ 1210789 w 3069383"/>
            <a:gd name="connsiteY18" fmla="*/ 68729 h 441026"/>
            <a:gd name="connsiteX19" fmla="*/ 1267939 w 3069383"/>
            <a:gd name="connsiteY19" fmla="*/ 78254 h 441026"/>
            <a:gd name="connsiteX20" fmla="*/ 1296514 w 3069383"/>
            <a:gd name="connsiteY20" fmla="*/ 87779 h 441026"/>
            <a:gd name="connsiteX21" fmla="*/ 1448914 w 3069383"/>
            <a:gd name="connsiteY21" fmla="*/ 97304 h 441026"/>
            <a:gd name="connsiteX22" fmla="*/ 1553689 w 3069383"/>
            <a:gd name="connsiteY22" fmla="*/ 135404 h 441026"/>
            <a:gd name="connsiteX23" fmla="*/ 1601314 w 3069383"/>
            <a:gd name="connsiteY23" fmla="*/ 144929 h 441026"/>
            <a:gd name="connsiteX24" fmla="*/ 1658464 w 3069383"/>
            <a:gd name="connsiteY24" fmla="*/ 154454 h 441026"/>
            <a:gd name="connsiteX25" fmla="*/ 1753714 w 3069383"/>
            <a:gd name="connsiteY25" fmla="*/ 163979 h 441026"/>
            <a:gd name="connsiteX26" fmla="*/ 1816256 w 3069383"/>
            <a:gd name="connsiteY26" fmla="*/ 182013 h 441026"/>
            <a:gd name="connsiteX27" fmla="*/ 1877959 w 3069383"/>
            <a:gd name="connsiteY27" fmla="*/ 200236 h 441026"/>
            <a:gd name="connsiteX28" fmla="*/ 1906394 w 3069383"/>
            <a:gd name="connsiteY28" fmla="*/ 297329 h 441026"/>
            <a:gd name="connsiteX29" fmla="*/ 1972789 w 3069383"/>
            <a:gd name="connsiteY29" fmla="*/ 344954 h 441026"/>
            <a:gd name="connsiteX30" fmla="*/ 2020414 w 3069383"/>
            <a:gd name="connsiteY30" fmla="*/ 364004 h 441026"/>
            <a:gd name="connsiteX31" fmla="*/ 2115664 w 3069383"/>
            <a:gd name="connsiteY31" fmla="*/ 383054 h 441026"/>
            <a:gd name="connsiteX32" fmla="*/ 2144239 w 3069383"/>
            <a:gd name="connsiteY32" fmla="*/ 392579 h 441026"/>
            <a:gd name="connsiteX33" fmla="*/ 2229964 w 3069383"/>
            <a:gd name="connsiteY33" fmla="*/ 411629 h 441026"/>
            <a:gd name="connsiteX34" fmla="*/ 2325214 w 3069383"/>
            <a:gd name="connsiteY34" fmla="*/ 421154 h 441026"/>
            <a:gd name="connsiteX35" fmla="*/ 2477614 w 3069383"/>
            <a:gd name="connsiteY35" fmla="*/ 440204 h 441026"/>
            <a:gd name="connsiteX36" fmla="*/ 2692144 w 3069383"/>
            <a:gd name="connsiteY36" fmla="*/ 391963 h 441026"/>
            <a:gd name="connsiteX37" fmla="*/ 2859509 w 3069383"/>
            <a:gd name="connsiteY37" fmla="*/ 287106 h 441026"/>
            <a:gd name="connsiteX38" fmla="*/ 3069383 w 3069383"/>
            <a:gd name="connsiteY38" fmla="*/ 315835 h 441026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59509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72384 w 3069383"/>
            <a:gd name="connsiteY14" fmla="*/ 45614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2872237"/>
            <a:gd name="connsiteY0" fmla="*/ 0 h 429219"/>
            <a:gd name="connsiteX1" fmla="*/ 42093 w 2872237"/>
            <a:gd name="connsiteY1" fmla="*/ 28575 h 429219"/>
            <a:gd name="connsiteX2" fmla="*/ 61143 w 2872237"/>
            <a:gd name="connsiteY2" fmla="*/ 66675 h 429219"/>
            <a:gd name="connsiteX3" fmla="*/ 108768 w 2872237"/>
            <a:gd name="connsiteY3" fmla="*/ 104775 h 429219"/>
            <a:gd name="connsiteX4" fmla="*/ 146868 w 2872237"/>
            <a:gd name="connsiteY4" fmla="*/ 142875 h 429219"/>
            <a:gd name="connsiteX5" fmla="*/ 175443 w 2872237"/>
            <a:gd name="connsiteY5" fmla="*/ 180975 h 429219"/>
            <a:gd name="connsiteX6" fmla="*/ 251643 w 2872237"/>
            <a:gd name="connsiteY6" fmla="*/ 190500 h 429219"/>
            <a:gd name="connsiteX7" fmla="*/ 384993 w 2872237"/>
            <a:gd name="connsiteY7" fmla="*/ 200025 h 429219"/>
            <a:gd name="connsiteX8" fmla="*/ 508818 w 2872237"/>
            <a:gd name="connsiteY8" fmla="*/ 171450 h 429219"/>
            <a:gd name="connsiteX9" fmla="*/ 537393 w 2872237"/>
            <a:gd name="connsiteY9" fmla="*/ 161925 h 429219"/>
            <a:gd name="connsiteX10" fmla="*/ 575493 w 2872237"/>
            <a:gd name="connsiteY10" fmla="*/ 171450 h 429219"/>
            <a:gd name="connsiteX11" fmla="*/ 661218 w 2872237"/>
            <a:gd name="connsiteY11" fmla="*/ 142875 h 429219"/>
            <a:gd name="connsiteX12" fmla="*/ 737418 w 2872237"/>
            <a:gd name="connsiteY12" fmla="*/ 95250 h 429219"/>
            <a:gd name="connsiteX13" fmla="*/ 775238 w 2872237"/>
            <a:gd name="connsiteY13" fmla="*/ 34035 h 429219"/>
            <a:gd name="connsiteX14" fmla="*/ 842193 w 2872237"/>
            <a:gd name="connsiteY14" fmla="*/ 28575 h 429219"/>
            <a:gd name="connsiteX15" fmla="*/ 870768 w 2872237"/>
            <a:gd name="connsiteY15" fmla="*/ 38100 h 429219"/>
            <a:gd name="connsiteX16" fmla="*/ 899343 w 2872237"/>
            <a:gd name="connsiteY16" fmla="*/ 28575 h 429219"/>
            <a:gd name="connsiteX17" fmla="*/ 1013643 w 2872237"/>
            <a:gd name="connsiteY17" fmla="*/ 57150 h 429219"/>
            <a:gd name="connsiteX18" fmla="*/ 1070793 w 2872237"/>
            <a:gd name="connsiteY18" fmla="*/ 66675 h 429219"/>
            <a:gd name="connsiteX19" fmla="*/ 1099368 w 2872237"/>
            <a:gd name="connsiteY19" fmla="*/ 76200 h 429219"/>
            <a:gd name="connsiteX20" fmla="*/ 1251768 w 2872237"/>
            <a:gd name="connsiteY20" fmla="*/ 85725 h 429219"/>
            <a:gd name="connsiteX21" fmla="*/ 1356543 w 2872237"/>
            <a:gd name="connsiteY21" fmla="*/ 123825 h 429219"/>
            <a:gd name="connsiteX22" fmla="*/ 1404168 w 2872237"/>
            <a:gd name="connsiteY22" fmla="*/ 133350 h 429219"/>
            <a:gd name="connsiteX23" fmla="*/ 1461318 w 2872237"/>
            <a:gd name="connsiteY23" fmla="*/ 142875 h 429219"/>
            <a:gd name="connsiteX24" fmla="*/ 1556568 w 2872237"/>
            <a:gd name="connsiteY24" fmla="*/ 152400 h 429219"/>
            <a:gd name="connsiteX25" fmla="*/ 1619110 w 2872237"/>
            <a:gd name="connsiteY25" fmla="*/ 170434 h 429219"/>
            <a:gd name="connsiteX26" fmla="*/ 1680813 w 2872237"/>
            <a:gd name="connsiteY26" fmla="*/ 188657 h 429219"/>
            <a:gd name="connsiteX27" fmla="*/ 1709248 w 2872237"/>
            <a:gd name="connsiteY27" fmla="*/ 285750 h 429219"/>
            <a:gd name="connsiteX28" fmla="*/ 1775643 w 2872237"/>
            <a:gd name="connsiteY28" fmla="*/ 333375 h 429219"/>
            <a:gd name="connsiteX29" fmla="*/ 1823268 w 2872237"/>
            <a:gd name="connsiteY29" fmla="*/ 352425 h 429219"/>
            <a:gd name="connsiteX30" fmla="*/ 1918518 w 2872237"/>
            <a:gd name="connsiteY30" fmla="*/ 371475 h 429219"/>
            <a:gd name="connsiteX31" fmla="*/ 1947093 w 2872237"/>
            <a:gd name="connsiteY31" fmla="*/ 381000 h 429219"/>
            <a:gd name="connsiteX32" fmla="*/ 2032818 w 2872237"/>
            <a:gd name="connsiteY32" fmla="*/ 400050 h 429219"/>
            <a:gd name="connsiteX33" fmla="*/ 2128068 w 2872237"/>
            <a:gd name="connsiteY33" fmla="*/ 409575 h 429219"/>
            <a:gd name="connsiteX34" fmla="*/ 2280468 w 2872237"/>
            <a:gd name="connsiteY34" fmla="*/ 428625 h 429219"/>
            <a:gd name="connsiteX35" fmla="*/ 2514328 w 2872237"/>
            <a:gd name="connsiteY35" fmla="*/ 385655 h 429219"/>
            <a:gd name="connsiteX36" fmla="*/ 2628536 w 2872237"/>
            <a:gd name="connsiteY36" fmla="*/ 275527 h 429219"/>
            <a:gd name="connsiteX37" fmla="*/ 2872237 w 2872237"/>
            <a:gd name="connsiteY37" fmla="*/ 277903 h 429219"/>
            <a:gd name="connsiteX0" fmla="*/ 0 w 2628536"/>
            <a:gd name="connsiteY0" fmla="*/ 0 h 429219"/>
            <a:gd name="connsiteX1" fmla="*/ 42093 w 2628536"/>
            <a:gd name="connsiteY1" fmla="*/ 28575 h 429219"/>
            <a:gd name="connsiteX2" fmla="*/ 61143 w 2628536"/>
            <a:gd name="connsiteY2" fmla="*/ 66675 h 429219"/>
            <a:gd name="connsiteX3" fmla="*/ 108768 w 2628536"/>
            <a:gd name="connsiteY3" fmla="*/ 104775 h 429219"/>
            <a:gd name="connsiteX4" fmla="*/ 146868 w 2628536"/>
            <a:gd name="connsiteY4" fmla="*/ 142875 h 429219"/>
            <a:gd name="connsiteX5" fmla="*/ 175443 w 2628536"/>
            <a:gd name="connsiteY5" fmla="*/ 180975 h 429219"/>
            <a:gd name="connsiteX6" fmla="*/ 251643 w 2628536"/>
            <a:gd name="connsiteY6" fmla="*/ 190500 h 429219"/>
            <a:gd name="connsiteX7" fmla="*/ 384993 w 2628536"/>
            <a:gd name="connsiteY7" fmla="*/ 200025 h 429219"/>
            <a:gd name="connsiteX8" fmla="*/ 508818 w 2628536"/>
            <a:gd name="connsiteY8" fmla="*/ 171450 h 429219"/>
            <a:gd name="connsiteX9" fmla="*/ 537393 w 2628536"/>
            <a:gd name="connsiteY9" fmla="*/ 161925 h 429219"/>
            <a:gd name="connsiteX10" fmla="*/ 575493 w 2628536"/>
            <a:gd name="connsiteY10" fmla="*/ 171450 h 429219"/>
            <a:gd name="connsiteX11" fmla="*/ 661218 w 2628536"/>
            <a:gd name="connsiteY11" fmla="*/ 142875 h 429219"/>
            <a:gd name="connsiteX12" fmla="*/ 737418 w 2628536"/>
            <a:gd name="connsiteY12" fmla="*/ 95250 h 429219"/>
            <a:gd name="connsiteX13" fmla="*/ 775238 w 2628536"/>
            <a:gd name="connsiteY13" fmla="*/ 34035 h 429219"/>
            <a:gd name="connsiteX14" fmla="*/ 842193 w 2628536"/>
            <a:gd name="connsiteY14" fmla="*/ 28575 h 429219"/>
            <a:gd name="connsiteX15" fmla="*/ 870768 w 2628536"/>
            <a:gd name="connsiteY15" fmla="*/ 38100 h 429219"/>
            <a:gd name="connsiteX16" fmla="*/ 899343 w 2628536"/>
            <a:gd name="connsiteY16" fmla="*/ 28575 h 429219"/>
            <a:gd name="connsiteX17" fmla="*/ 1013643 w 2628536"/>
            <a:gd name="connsiteY17" fmla="*/ 57150 h 429219"/>
            <a:gd name="connsiteX18" fmla="*/ 1070793 w 2628536"/>
            <a:gd name="connsiteY18" fmla="*/ 66675 h 429219"/>
            <a:gd name="connsiteX19" fmla="*/ 1099368 w 2628536"/>
            <a:gd name="connsiteY19" fmla="*/ 76200 h 429219"/>
            <a:gd name="connsiteX20" fmla="*/ 1251768 w 2628536"/>
            <a:gd name="connsiteY20" fmla="*/ 85725 h 429219"/>
            <a:gd name="connsiteX21" fmla="*/ 1356543 w 2628536"/>
            <a:gd name="connsiteY21" fmla="*/ 123825 h 429219"/>
            <a:gd name="connsiteX22" fmla="*/ 1404168 w 2628536"/>
            <a:gd name="connsiteY22" fmla="*/ 133350 h 429219"/>
            <a:gd name="connsiteX23" fmla="*/ 1461318 w 2628536"/>
            <a:gd name="connsiteY23" fmla="*/ 142875 h 429219"/>
            <a:gd name="connsiteX24" fmla="*/ 1556568 w 2628536"/>
            <a:gd name="connsiteY24" fmla="*/ 152400 h 429219"/>
            <a:gd name="connsiteX25" fmla="*/ 1619110 w 2628536"/>
            <a:gd name="connsiteY25" fmla="*/ 170434 h 429219"/>
            <a:gd name="connsiteX26" fmla="*/ 1680813 w 2628536"/>
            <a:gd name="connsiteY26" fmla="*/ 188657 h 429219"/>
            <a:gd name="connsiteX27" fmla="*/ 1709248 w 2628536"/>
            <a:gd name="connsiteY27" fmla="*/ 285750 h 429219"/>
            <a:gd name="connsiteX28" fmla="*/ 1775643 w 2628536"/>
            <a:gd name="connsiteY28" fmla="*/ 333375 h 429219"/>
            <a:gd name="connsiteX29" fmla="*/ 1823268 w 2628536"/>
            <a:gd name="connsiteY29" fmla="*/ 352425 h 429219"/>
            <a:gd name="connsiteX30" fmla="*/ 1918518 w 2628536"/>
            <a:gd name="connsiteY30" fmla="*/ 371475 h 429219"/>
            <a:gd name="connsiteX31" fmla="*/ 1947093 w 2628536"/>
            <a:gd name="connsiteY31" fmla="*/ 381000 h 429219"/>
            <a:gd name="connsiteX32" fmla="*/ 2032818 w 2628536"/>
            <a:gd name="connsiteY32" fmla="*/ 400050 h 429219"/>
            <a:gd name="connsiteX33" fmla="*/ 2128068 w 2628536"/>
            <a:gd name="connsiteY33" fmla="*/ 409575 h 429219"/>
            <a:gd name="connsiteX34" fmla="*/ 2280468 w 2628536"/>
            <a:gd name="connsiteY34" fmla="*/ 428625 h 429219"/>
            <a:gd name="connsiteX35" fmla="*/ 2514328 w 2628536"/>
            <a:gd name="connsiteY35" fmla="*/ 385655 h 429219"/>
            <a:gd name="connsiteX36" fmla="*/ 2628536 w 2628536"/>
            <a:gd name="connsiteY36" fmla="*/ 275527 h 4292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628536" h="429219">
              <a:moveTo>
                <a:pt x="0" y="0"/>
              </a:moveTo>
              <a:cubicBezTo>
                <a:pt x="31750" y="9525"/>
                <a:pt x="31903" y="17463"/>
                <a:pt x="42093" y="28575"/>
              </a:cubicBezTo>
              <a:cubicBezTo>
                <a:pt x="52283" y="39687"/>
                <a:pt x="54098" y="54347"/>
                <a:pt x="61143" y="66675"/>
              </a:cubicBezTo>
              <a:cubicBezTo>
                <a:pt x="81418" y="102156"/>
                <a:pt x="73143" y="92900"/>
                <a:pt x="108768" y="104775"/>
              </a:cubicBezTo>
              <a:cubicBezTo>
                <a:pt x="121468" y="117475"/>
                <a:pt x="135041" y="129358"/>
                <a:pt x="146868" y="142875"/>
              </a:cubicBezTo>
              <a:cubicBezTo>
                <a:pt x="157322" y="154822"/>
                <a:pt x="160991" y="174406"/>
                <a:pt x="175443" y="180975"/>
              </a:cubicBezTo>
              <a:cubicBezTo>
                <a:pt x="198746" y="191567"/>
                <a:pt x="226150" y="188182"/>
                <a:pt x="251643" y="190500"/>
              </a:cubicBezTo>
              <a:cubicBezTo>
                <a:pt x="296023" y="194535"/>
                <a:pt x="340543" y="196850"/>
                <a:pt x="384993" y="200025"/>
              </a:cubicBezTo>
              <a:cubicBezTo>
                <a:pt x="471547" y="187660"/>
                <a:pt x="430369" y="197600"/>
                <a:pt x="508818" y="171450"/>
              </a:cubicBezTo>
              <a:lnTo>
                <a:pt x="537393" y="161925"/>
              </a:lnTo>
              <a:cubicBezTo>
                <a:pt x="550093" y="165100"/>
                <a:pt x="562402" y="171450"/>
                <a:pt x="575493" y="171450"/>
              </a:cubicBezTo>
              <a:cubicBezTo>
                <a:pt x="596001" y="171450"/>
                <a:pt x="646080" y="148930"/>
                <a:pt x="661218" y="142875"/>
              </a:cubicBezTo>
              <a:cubicBezTo>
                <a:pt x="678323" y="91560"/>
                <a:pt x="718415" y="113390"/>
                <a:pt x="737418" y="95250"/>
              </a:cubicBezTo>
              <a:cubicBezTo>
                <a:pt x="756421" y="77110"/>
                <a:pt x="775238" y="34035"/>
                <a:pt x="775238" y="34035"/>
              </a:cubicBezTo>
              <a:cubicBezTo>
                <a:pt x="791113" y="18160"/>
                <a:pt x="826271" y="27898"/>
                <a:pt x="842193" y="28575"/>
              </a:cubicBezTo>
              <a:cubicBezTo>
                <a:pt x="858115" y="29253"/>
                <a:pt x="860728" y="38100"/>
                <a:pt x="870768" y="38100"/>
              </a:cubicBezTo>
              <a:cubicBezTo>
                <a:pt x="880808" y="38100"/>
                <a:pt x="889818" y="31750"/>
                <a:pt x="899343" y="28575"/>
              </a:cubicBezTo>
              <a:cubicBezTo>
                <a:pt x="953451" y="64647"/>
                <a:pt x="912494" y="43664"/>
                <a:pt x="1013643" y="57150"/>
              </a:cubicBezTo>
              <a:cubicBezTo>
                <a:pt x="1032786" y="59702"/>
                <a:pt x="1051940" y="62485"/>
                <a:pt x="1070793" y="66675"/>
              </a:cubicBezTo>
              <a:cubicBezTo>
                <a:pt x="1080594" y="68853"/>
                <a:pt x="1089383" y="75149"/>
                <a:pt x="1099368" y="76200"/>
              </a:cubicBezTo>
              <a:cubicBezTo>
                <a:pt x="1149987" y="81528"/>
                <a:pt x="1200968" y="82550"/>
                <a:pt x="1251768" y="85725"/>
              </a:cubicBezTo>
              <a:cubicBezTo>
                <a:pt x="1288288" y="100333"/>
                <a:pt x="1318111" y="113344"/>
                <a:pt x="1356543" y="123825"/>
              </a:cubicBezTo>
              <a:cubicBezTo>
                <a:pt x="1372162" y="128085"/>
                <a:pt x="1388293" y="130175"/>
                <a:pt x="1404168" y="133350"/>
              </a:cubicBezTo>
              <a:cubicBezTo>
                <a:pt x="1468631" y="111862"/>
                <a:pt x="1395853" y="127768"/>
                <a:pt x="1461318" y="142875"/>
              </a:cubicBezTo>
              <a:cubicBezTo>
                <a:pt x="1492409" y="150050"/>
                <a:pt x="1524818" y="149225"/>
                <a:pt x="1556568" y="152400"/>
              </a:cubicBezTo>
              <a:cubicBezTo>
                <a:pt x="1562918" y="161925"/>
                <a:pt x="1598403" y="164391"/>
                <a:pt x="1619110" y="170434"/>
              </a:cubicBezTo>
              <a:cubicBezTo>
                <a:pt x="1639818" y="176477"/>
                <a:pt x="1665790" y="169438"/>
                <a:pt x="1680813" y="188657"/>
              </a:cubicBezTo>
              <a:cubicBezTo>
                <a:pt x="1695836" y="207876"/>
                <a:pt x="1693443" y="261630"/>
                <a:pt x="1709248" y="285750"/>
              </a:cubicBezTo>
              <a:cubicBezTo>
                <a:pt x="1725053" y="309870"/>
                <a:pt x="1756640" y="322263"/>
                <a:pt x="1775643" y="333375"/>
              </a:cubicBezTo>
              <a:cubicBezTo>
                <a:pt x="1794646" y="344488"/>
                <a:pt x="1806747" y="348020"/>
                <a:pt x="1823268" y="352425"/>
              </a:cubicBezTo>
              <a:cubicBezTo>
                <a:pt x="1854554" y="360768"/>
                <a:pt x="1886968" y="364194"/>
                <a:pt x="1918518" y="371475"/>
              </a:cubicBezTo>
              <a:cubicBezTo>
                <a:pt x="1928301" y="373733"/>
                <a:pt x="1937439" y="378242"/>
                <a:pt x="1947093" y="381000"/>
              </a:cubicBezTo>
              <a:cubicBezTo>
                <a:pt x="1966899" y="386659"/>
                <a:pt x="2014404" y="397595"/>
                <a:pt x="2032818" y="400050"/>
              </a:cubicBezTo>
              <a:cubicBezTo>
                <a:pt x="2064446" y="404267"/>
                <a:pt x="2096370" y="405918"/>
                <a:pt x="2128068" y="409575"/>
              </a:cubicBezTo>
              <a:cubicBezTo>
                <a:pt x="2178926" y="415443"/>
                <a:pt x="2216091" y="432612"/>
                <a:pt x="2280468" y="428625"/>
              </a:cubicBezTo>
              <a:cubicBezTo>
                <a:pt x="2344845" y="424638"/>
                <a:pt x="2422253" y="379305"/>
                <a:pt x="2514328" y="385655"/>
              </a:cubicBezTo>
              <a:cubicBezTo>
                <a:pt x="2583120" y="399413"/>
                <a:pt x="2568885" y="293486"/>
                <a:pt x="2628536" y="275527"/>
              </a:cubicBezTo>
            </a:path>
          </a:pathLst>
        </a:custGeom>
        <a:noFill/>
        <a:ln>
          <a:solidFill>
            <a:srgbClr val="385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82129</xdr:colOff>
      <xdr:row>112</xdr:row>
      <xdr:rowOff>143993</xdr:rowOff>
    </xdr:from>
    <xdr:to>
      <xdr:col>18</xdr:col>
      <xdr:colOff>81633</xdr:colOff>
      <xdr:row>116</xdr:row>
      <xdr:rowOff>5222</xdr:rowOff>
    </xdr:to>
    <xdr:sp macro="" textlink="">
      <xdr:nvSpPr>
        <xdr:cNvPr id="146" name="Freeform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558629" y="18657129"/>
          <a:ext cx="952004" cy="553957"/>
        </a:xfrm>
        <a:custGeom>
          <a:avLst/>
          <a:gdLst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19050 w 733429"/>
            <a:gd name="connsiteY3" fmla="*/ 142875 h 533400"/>
            <a:gd name="connsiteX4" fmla="*/ 66675 w 733429"/>
            <a:gd name="connsiteY4" fmla="*/ 76200 h 533400"/>
            <a:gd name="connsiteX5" fmla="*/ 85725 w 733429"/>
            <a:gd name="connsiteY5" fmla="*/ 28575 h 533400"/>
            <a:gd name="connsiteX6" fmla="*/ 114300 w 733429"/>
            <a:gd name="connsiteY6" fmla="*/ 19050 h 533400"/>
            <a:gd name="connsiteX7" fmla="*/ 152400 w 733429"/>
            <a:gd name="connsiteY7" fmla="*/ 0 h 533400"/>
            <a:gd name="connsiteX8" fmla="*/ 466725 w 733429"/>
            <a:gd name="connsiteY8" fmla="*/ 9525 h 533400"/>
            <a:gd name="connsiteX9" fmla="*/ 609600 w 733429"/>
            <a:gd name="connsiteY9" fmla="*/ 19050 h 533400"/>
            <a:gd name="connsiteX10" fmla="*/ 619125 w 733429"/>
            <a:gd name="connsiteY10" fmla="*/ 47625 h 533400"/>
            <a:gd name="connsiteX11" fmla="*/ 638175 w 733429"/>
            <a:gd name="connsiteY11" fmla="*/ 76200 h 533400"/>
            <a:gd name="connsiteX12" fmla="*/ 647700 w 733429"/>
            <a:gd name="connsiteY12" fmla="*/ 123825 h 533400"/>
            <a:gd name="connsiteX13" fmla="*/ 685800 w 733429"/>
            <a:gd name="connsiteY13" fmla="*/ 180975 h 533400"/>
            <a:gd name="connsiteX14" fmla="*/ 704850 w 733429"/>
            <a:gd name="connsiteY14" fmla="*/ 247650 h 533400"/>
            <a:gd name="connsiteX15" fmla="*/ 723900 w 733429"/>
            <a:gd name="connsiteY15" fmla="*/ 323850 h 533400"/>
            <a:gd name="connsiteX16" fmla="*/ 733425 w 733429"/>
            <a:gd name="connsiteY16" fmla="*/ 533400 h 533400"/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66675 w 733429"/>
            <a:gd name="connsiteY3" fmla="*/ 76200 h 533400"/>
            <a:gd name="connsiteX4" fmla="*/ 85725 w 733429"/>
            <a:gd name="connsiteY4" fmla="*/ 28575 h 533400"/>
            <a:gd name="connsiteX5" fmla="*/ 114300 w 733429"/>
            <a:gd name="connsiteY5" fmla="*/ 19050 h 533400"/>
            <a:gd name="connsiteX6" fmla="*/ 152400 w 733429"/>
            <a:gd name="connsiteY6" fmla="*/ 0 h 533400"/>
            <a:gd name="connsiteX7" fmla="*/ 466725 w 733429"/>
            <a:gd name="connsiteY7" fmla="*/ 9525 h 533400"/>
            <a:gd name="connsiteX8" fmla="*/ 609600 w 733429"/>
            <a:gd name="connsiteY8" fmla="*/ 19050 h 533400"/>
            <a:gd name="connsiteX9" fmla="*/ 619125 w 733429"/>
            <a:gd name="connsiteY9" fmla="*/ 47625 h 533400"/>
            <a:gd name="connsiteX10" fmla="*/ 638175 w 733429"/>
            <a:gd name="connsiteY10" fmla="*/ 76200 h 533400"/>
            <a:gd name="connsiteX11" fmla="*/ 647700 w 733429"/>
            <a:gd name="connsiteY11" fmla="*/ 123825 h 533400"/>
            <a:gd name="connsiteX12" fmla="*/ 685800 w 733429"/>
            <a:gd name="connsiteY12" fmla="*/ 180975 h 533400"/>
            <a:gd name="connsiteX13" fmla="*/ 704850 w 733429"/>
            <a:gd name="connsiteY13" fmla="*/ 247650 h 533400"/>
            <a:gd name="connsiteX14" fmla="*/ 723900 w 733429"/>
            <a:gd name="connsiteY14" fmla="*/ 323850 h 533400"/>
            <a:gd name="connsiteX15" fmla="*/ 733425 w 733429"/>
            <a:gd name="connsiteY15" fmla="*/ 533400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733429" h="533400">
              <a:moveTo>
                <a:pt x="0" y="381000"/>
              </a:moveTo>
              <a:cubicBezTo>
                <a:pt x="6350" y="333375"/>
                <a:pt x="6822" y="284590"/>
                <a:pt x="19050" y="238125"/>
              </a:cubicBezTo>
              <a:cubicBezTo>
                <a:pt x="23090" y="222773"/>
                <a:pt x="39688" y="227012"/>
                <a:pt x="47625" y="200025"/>
              </a:cubicBezTo>
              <a:cubicBezTo>
                <a:pt x="55562" y="173038"/>
                <a:pt x="60325" y="104775"/>
                <a:pt x="66675" y="76200"/>
              </a:cubicBezTo>
              <a:cubicBezTo>
                <a:pt x="73025" y="47625"/>
                <a:pt x="74779" y="41710"/>
                <a:pt x="85725" y="28575"/>
              </a:cubicBezTo>
              <a:cubicBezTo>
                <a:pt x="92153" y="20862"/>
                <a:pt x="105072" y="23005"/>
                <a:pt x="114300" y="19050"/>
              </a:cubicBezTo>
              <a:cubicBezTo>
                <a:pt x="127351" y="13457"/>
                <a:pt x="139700" y="6350"/>
                <a:pt x="152400" y="0"/>
              </a:cubicBezTo>
              <a:lnTo>
                <a:pt x="466725" y="9525"/>
              </a:lnTo>
              <a:cubicBezTo>
                <a:pt x="514414" y="11512"/>
                <a:pt x="563294" y="7474"/>
                <a:pt x="609600" y="19050"/>
              </a:cubicBezTo>
              <a:cubicBezTo>
                <a:pt x="619340" y="21485"/>
                <a:pt x="614635" y="38645"/>
                <a:pt x="619125" y="47625"/>
              </a:cubicBezTo>
              <a:cubicBezTo>
                <a:pt x="624245" y="57864"/>
                <a:pt x="631825" y="66675"/>
                <a:pt x="638175" y="76200"/>
              </a:cubicBezTo>
              <a:cubicBezTo>
                <a:pt x="641350" y="92075"/>
                <a:pt x="641001" y="109087"/>
                <a:pt x="647700" y="123825"/>
              </a:cubicBezTo>
              <a:cubicBezTo>
                <a:pt x="657174" y="144668"/>
                <a:pt x="685800" y="180975"/>
                <a:pt x="685800" y="180975"/>
              </a:cubicBezTo>
              <a:cubicBezTo>
                <a:pt x="692150" y="203200"/>
                <a:pt x="698894" y="225316"/>
                <a:pt x="704850" y="247650"/>
              </a:cubicBezTo>
              <a:cubicBezTo>
                <a:pt x="711596" y="272948"/>
                <a:pt x="723900" y="323850"/>
                <a:pt x="723900" y="323850"/>
              </a:cubicBezTo>
              <a:cubicBezTo>
                <a:pt x="733926" y="514337"/>
                <a:pt x="733425" y="444417"/>
                <a:pt x="733425" y="5334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152600</xdr:colOff>
      <xdr:row>113</xdr:row>
      <xdr:rowOff>104970</xdr:rowOff>
    </xdr:from>
    <xdr:to>
      <xdr:col>18</xdr:col>
      <xdr:colOff>34648</xdr:colOff>
      <xdr:row>114</xdr:row>
      <xdr:rowOff>11849</xdr:rowOff>
    </xdr:to>
    <xdr:sp macro="" textlink="">
      <xdr:nvSpPr>
        <xdr:cNvPr id="147" name="Freeform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2629100" y="18791288"/>
          <a:ext cx="834548" cy="80061"/>
        </a:xfrm>
        <a:custGeom>
          <a:avLst/>
          <a:gdLst>
            <a:gd name="connsiteX0" fmla="*/ 0 w 638175"/>
            <a:gd name="connsiteY0" fmla="*/ 0 h 85725"/>
            <a:gd name="connsiteX1" fmla="*/ 114300 w 638175"/>
            <a:gd name="connsiteY1" fmla="*/ 38100 h 85725"/>
            <a:gd name="connsiteX2" fmla="*/ 180975 w 638175"/>
            <a:gd name="connsiteY2" fmla="*/ 47625 h 85725"/>
            <a:gd name="connsiteX3" fmla="*/ 581025 w 638175"/>
            <a:gd name="connsiteY3" fmla="*/ 66675 h 85725"/>
            <a:gd name="connsiteX4" fmla="*/ 638175 w 638175"/>
            <a:gd name="connsiteY4" fmla="*/ 85725 h 85725"/>
            <a:gd name="connsiteX0" fmla="*/ 0 w 638175"/>
            <a:gd name="connsiteY0" fmla="*/ 0 h 85725"/>
            <a:gd name="connsiteX1" fmla="*/ 180975 w 638175"/>
            <a:gd name="connsiteY1" fmla="*/ 47625 h 85725"/>
            <a:gd name="connsiteX2" fmla="*/ 581025 w 638175"/>
            <a:gd name="connsiteY2" fmla="*/ 66675 h 85725"/>
            <a:gd name="connsiteX3" fmla="*/ 638175 w 638175"/>
            <a:gd name="connsiteY3" fmla="*/ 85725 h 85725"/>
            <a:gd name="connsiteX0" fmla="*/ 0 w 638175"/>
            <a:gd name="connsiteY0" fmla="*/ 0 h 85725"/>
            <a:gd name="connsiteX1" fmla="*/ 581025 w 638175"/>
            <a:gd name="connsiteY1" fmla="*/ 66675 h 85725"/>
            <a:gd name="connsiteX2" fmla="*/ 638175 w 638175"/>
            <a:gd name="connsiteY2" fmla="*/ 85725 h 85725"/>
            <a:gd name="connsiteX0" fmla="*/ 0 w 638175"/>
            <a:gd name="connsiteY0" fmla="*/ 0 h 85725"/>
            <a:gd name="connsiteX1" fmla="*/ 638175 w 638175"/>
            <a:gd name="connsiteY1" fmla="*/ 85725 h 85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38175" h="85725">
              <a:moveTo>
                <a:pt x="0" y="0"/>
              </a:moveTo>
              <a:lnTo>
                <a:pt x="638175" y="8572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174787</xdr:colOff>
      <xdr:row>116</xdr:row>
      <xdr:rowOff>42375</xdr:rowOff>
    </xdr:from>
    <xdr:to>
      <xdr:col>29</xdr:col>
      <xdr:colOff>38845</xdr:colOff>
      <xdr:row>117</xdr:row>
      <xdr:rowOff>152400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/>
      </xdr:nvSpPr>
      <xdr:spPr>
        <a:xfrm>
          <a:off x="4477846" y="20874110"/>
          <a:ext cx="760528" cy="2893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 </a:t>
          </a:r>
          <a:r>
            <a:rPr lang="en-US" sz="1100"/>
            <a:t>P</a:t>
          </a:r>
        </a:p>
      </xdr:txBody>
    </xdr:sp>
    <xdr:clientData/>
  </xdr:twoCellAnchor>
  <xdr:twoCellAnchor>
    <xdr:from>
      <xdr:col>5</xdr:col>
      <xdr:colOff>139923</xdr:colOff>
      <xdr:row>114</xdr:row>
      <xdr:rowOff>4453</xdr:rowOff>
    </xdr:from>
    <xdr:to>
      <xdr:col>9</xdr:col>
      <xdr:colOff>187861</xdr:colOff>
      <xdr:row>115</xdr:row>
      <xdr:rowOff>104953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/>
      </xdr:nvSpPr>
      <xdr:spPr>
        <a:xfrm>
          <a:off x="1092423" y="18863953"/>
          <a:ext cx="809938" cy="2736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  P</a:t>
          </a:r>
        </a:p>
      </xdr:txBody>
    </xdr:sp>
    <xdr:clientData/>
  </xdr:twoCellAnchor>
  <xdr:twoCellAnchor>
    <xdr:from>
      <xdr:col>2</xdr:col>
      <xdr:colOff>56845</xdr:colOff>
      <xdr:row>112</xdr:row>
      <xdr:rowOff>24513</xdr:rowOff>
    </xdr:from>
    <xdr:to>
      <xdr:col>5</xdr:col>
      <xdr:colOff>173642</xdr:colOff>
      <xdr:row>113</xdr:row>
      <xdr:rowOff>134538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/>
      </xdr:nvSpPr>
      <xdr:spPr>
        <a:xfrm>
          <a:off x="437845" y="18537649"/>
          <a:ext cx="688297" cy="2832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</a:t>
          </a:r>
          <a:r>
            <a:rPr lang="en-US" sz="1100"/>
            <a:t> HC</a:t>
          </a:r>
        </a:p>
      </xdr:txBody>
    </xdr:sp>
    <xdr:clientData/>
  </xdr:twoCellAnchor>
  <xdr:twoCellAnchor>
    <xdr:from>
      <xdr:col>28</xdr:col>
      <xdr:colOff>72307</xdr:colOff>
      <xdr:row>114</xdr:row>
      <xdr:rowOff>120420</xdr:rowOff>
    </xdr:from>
    <xdr:to>
      <xdr:col>30</xdr:col>
      <xdr:colOff>148734</xdr:colOff>
      <xdr:row>116</xdr:row>
      <xdr:rowOff>39945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/>
      </xdr:nvSpPr>
      <xdr:spPr>
        <a:xfrm>
          <a:off x="5139607" y="20608695"/>
          <a:ext cx="438377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</a:t>
          </a:r>
          <a:r>
            <a:rPr lang="en-US" sz="1100"/>
            <a:t>HC</a:t>
          </a:r>
        </a:p>
      </xdr:txBody>
    </xdr:sp>
    <xdr:clientData/>
  </xdr:twoCellAnchor>
  <xdr:twoCellAnchor>
    <xdr:from>
      <xdr:col>18</xdr:col>
      <xdr:colOff>28575</xdr:colOff>
      <xdr:row>110</xdr:row>
      <xdr:rowOff>68036</xdr:rowOff>
    </xdr:from>
    <xdr:to>
      <xdr:col>33</xdr:col>
      <xdr:colOff>136073</xdr:colOff>
      <xdr:row>113</xdr:row>
      <xdr:rowOff>133350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/>
      </xdr:nvSpPr>
      <xdr:spPr>
        <a:xfrm>
          <a:off x="3286125" y="19832411"/>
          <a:ext cx="2822123" cy="608239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 b="1" i="0" u="sng"/>
            <a:t>Longitudinal</a:t>
          </a:r>
          <a:r>
            <a:rPr lang="en-US" sz="1000" b="1" i="0" u="sng" baseline="0"/>
            <a:t> Profile Feature Code Abbreviations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HC = Hydraulic Control     </a:t>
          </a:r>
          <a:r>
            <a:rPr lang="en-US" sz="1000" b="1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GC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Grade Control</a:t>
          </a:r>
          <a:endParaRPr lang="en-US" sz="1000" b="1" i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P = Pool Bottom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000" b="1" i="0" baseline="0">
              <a:solidFill>
                <a:schemeClr val="tx1"/>
              </a:solidFill>
              <a:effectLst/>
              <a:latin typeface="Bell MT" panose="02020503060305020303" pitchFamily="18" charset="0"/>
              <a:ea typeface="+mn-ea"/>
              <a:cs typeface="+mn-cs"/>
            </a:rPr>
            <a:t> I 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Invert     CB = Channel Bottom</a:t>
          </a:r>
          <a:endParaRPr lang="en-US" sz="1000" b="1" i="0" u="none" baseline="0"/>
        </a:p>
      </xdr:txBody>
    </xdr:sp>
    <xdr:clientData/>
  </xdr:twoCellAnchor>
  <xdr:twoCellAnchor>
    <xdr:from>
      <xdr:col>29</xdr:col>
      <xdr:colOff>165048</xdr:colOff>
      <xdr:row>115</xdr:row>
      <xdr:rowOff>145376</xdr:rowOff>
    </xdr:from>
    <xdr:to>
      <xdr:col>29</xdr:col>
      <xdr:colOff>165049</xdr:colOff>
      <xdr:row>117</xdr:row>
      <xdr:rowOff>2412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CxnSpPr/>
      </xdr:nvCxnSpPr>
      <xdr:spPr>
        <a:xfrm>
          <a:off x="5689548" y="19178058"/>
          <a:ext cx="1" cy="2033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54414</xdr:colOff>
      <xdr:row>117</xdr:row>
      <xdr:rowOff>69176</xdr:rowOff>
    </xdr:from>
    <xdr:to>
      <xdr:col>26</xdr:col>
      <xdr:colOff>54415</xdr:colOff>
      <xdr:row>118</xdr:row>
      <xdr:rowOff>116712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5007414" y="19448221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25839</xdr:colOff>
      <xdr:row>115</xdr:row>
      <xdr:rowOff>31076</xdr:rowOff>
    </xdr:from>
    <xdr:to>
      <xdr:col>7</xdr:col>
      <xdr:colOff>25840</xdr:colOff>
      <xdr:row>116</xdr:row>
      <xdr:rowOff>78612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CxnSpPr/>
      </xdr:nvCxnSpPr>
      <xdr:spPr>
        <a:xfrm>
          <a:off x="1359339" y="19063758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130612</xdr:colOff>
      <xdr:row>113</xdr:row>
      <xdr:rowOff>40601</xdr:rowOff>
    </xdr:from>
    <xdr:to>
      <xdr:col>3</xdr:col>
      <xdr:colOff>130613</xdr:colOff>
      <xdr:row>114</xdr:row>
      <xdr:rowOff>88137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CxnSpPr/>
      </xdr:nvCxnSpPr>
      <xdr:spPr>
        <a:xfrm>
          <a:off x="702112" y="18726919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76470</xdr:colOff>
      <xdr:row>112</xdr:row>
      <xdr:rowOff>41985</xdr:rowOff>
    </xdr:from>
    <xdr:to>
      <xdr:col>12</xdr:col>
      <xdr:colOff>76200</xdr:colOff>
      <xdr:row>115</xdr:row>
      <xdr:rowOff>123825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 txBox="1"/>
      </xdr:nvSpPr>
      <xdr:spPr>
        <a:xfrm>
          <a:off x="1705245" y="20168310"/>
          <a:ext cx="542655" cy="624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10</xdr:col>
      <xdr:colOff>133550</xdr:colOff>
      <xdr:row>114</xdr:row>
      <xdr:rowOff>57434</xdr:rowOff>
    </xdr:from>
    <xdr:to>
      <xdr:col>11</xdr:col>
      <xdr:colOff>70026</xdr:colOff>
      <xdr:row>114</xdr:row>
      <xdr:rowOff>143993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CxnSpPr/>
      </xdr:nvCxnSpPr>
      <xdr:spPr>
        <a:xfrm>
          <a:off x="2038550" y="18916934"/>
          <a:ext cx="126976" cy="865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133620</xdr:colOff>
      <xdr:row>113</xdr:row>
      <xdr:rowOff>146760</xdr:rowOff>
    </xdr:from>
    <xdr:to>
      <xdr:col>23</xdr:col>
      <xdr:colOff>133350</xdr:colOff>
      <xdr:row>117</xdr:row>
      <xdr:rowOff>38100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 txBox="1"/>
      </xdr:nvSpPr>
      <xdr:spPr>
        <a:xfrm>
          <a:off x="3753120" y="20454060"/>
          <a:ext cx="542655" cy="615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20</xdr:col>
      <xdr:colOff>100392</xdr:colOff>
      <xdr:row>115</xdr:row>
      <xdr:rowOff>143159</xdr:rowOff>
    </xdr:from>
    <xdr:to>
      <xdr:col>21</xdr:col>
      <xdr:colOff>36868</xdr:colOff>
      <xdr:row>116</xdr:row>
      <xdr:rowOff>60857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CxnSpPr/>
      </xdr:nvCxnSpPr>
      <xdr:spPr>
        <a:xfrm flipH="1">
          <a:off x="3910392" y="19175841"/>
          <a:ext cx="126976" cy="908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162195</xdr:colOff>
      <xdr:row>116</xdr:row>
      <xdr:rowOff>11677</xdr:rowOff>
    </xdr:from>
    <xdr:to>
      <xdr:col>14</xdr:col>
      <xdr:colOff>161925</xdr:colOff>
      <xdr:row>118</xdr:row>
      <xdr:rowOff>104774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 txBox="1"/>
      </xdr:nvSpPr>
      <xdr:spPr>
        <a:xfrm>
          <a:off x="2257695" y="19217541"/>
          <a:ext cx="571230" cy="439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13</xdr:col>
      <xdr:colOff>76200</xdr:colOff>
      <xdr:row>115</xdr:row>
      <xdr:rowOff>38101</xdr:rowOff>
    </xdr:from>
    <xdr:to>
      <xdr:col>13</xdr:col>
      <xdr:colOff>76201</xdr:colOff>
      <xdr:row>116</xdr:row>
      <xdr:rowOff>28575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V="1">
          <a:off x="2552700" y="19070783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162195</xdr:colOff>
      <xdr:row>116</xdr:row>
      <xdr:rowOff>137234</xdr:rowOff>
    </xdr:from>
    <xdr:to>
      <xdr:col>19</xdr:col>
      <xdr:colOff>161925</xdr:colOff>
      <xdr:row>119</xdr:row>
      <xdr:rowOff>57149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/>
      </xdr:nvSpPr>
      <xdr:spPr>
        <a:xfrm>
          <a:off x="3210195" y="19343098"/>
          <a:ext cx="571230" cy="439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18</xdr:col>
      <xdr:colOff>76200</xdr:colOff>
      <xdr:row>116</xdr:row>
      <xdr:rowOff>7794</xdr:rowOff>
    </xdr:from>
    <xdr:to>
      <xdr:col>18</xdr:col>
      <xdr:colOff>76201</xdr:colOff>
      <xdr:row>116</xdr:row>
      <xdr:rowOff>171450</xdr:rowOff>
    </xdr:to>
    <xdr:cxnSp macro="">
      <xdr:nvCxnSpPr>
        <xdr:cNvPr id="170" name="Straight Arrow Connector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CxnSpPr/>
      </xdr:nvCxnSpPr>
      <xdr:spPr>
        <a:xfrm flipV="1">
          <a:off x="3505200" y="19213658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27213</xdr:colOff>
      <xdr:row>114</xdr:row>
      <xdr:rowOff>55547</xdr:rowOff>
    </xdr:from>
    <xdr:to>
      <xdr:col>3</xdr:col>
      <xdr:colOff>71754</xdr:colOff>
      <xdr:row>114</xdr:row>
      <xdr:rowOff>164441</xdr:rowOff>
    </xdr:to>
    <xdr:sp macro="" textlink="">
      <xdr:nvSpPr>
        <xdr:cNvPr id="171" name="Freeform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27213" y="20543822"/>
          <a:ext cx="587466" cy="108894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564427 w 564427"/>
            <a:gd name="connsiteY0" fmla="*/ 41693 h 41693"/>
            <a:gd name="connsiteX1" fmla="*/ 455570 w 564427"/>
            <a:gd name="connsiteY1" fmla="*/ 28086 h 41693"/>
            <a:gd name="connsiteX2" fmla="*/ 414748 w 564427"/>
            <a:gd name="connsiteY2" fmla="*/ 14479 h 41693"/>
            <a:gd name="connsiteX3" fmla="*/ 33748 w 564427"/>
            <a:gd name="connsiteY3" fmla="*/ 872 h 41693"/>
            <a:gd name="connsiteX4" fmla="*/ 16423 w 564427"/>
            <a:gd name="connsiteY4" fmla="*/ 13361 h 41693"/>
            <a:gd name="connsiteX0" fmla="*/ 602433 w 602433"/>
            <a:gd name="connsiteY0" fmla="*/ 41693 h 122218"/>
            <a:gd name="connsiteX1" fmla="*/ 493576 w 602433"/>
            <a:gd name="connsiteY1" fmla="*/ 28086 h 122218"/>
            <a:gd name="connsiteX2" fmla="*/ 452754 w 602433"/>
            <a:gd name="connsiteY2" fmla="*/ 14479 h 122218"/>
            <a:gd name="connsiteX3" fmla="*/ 71754 w 602433"/>
            <a:gd name="connsiteY3" fmla="*/ 872 h 122218"/>
            <a:gd name="connsiteX4" fmla="*/ 0 w 602433"/>
            <a:gd name="connsiteY4" fmla="*/ 122218 h 122218"/>
            <a:gd name="connsiteX0" fmla="*/ 616041 w 616041"/>
            <a:gd name="connsiteY0" fmla="*/ 41693 h 67789"/>
            <a:gd name="connsiteX1" fmla="*/ 507184 w 616041"/>
            <a:gd name="connsiteY1" fmla="*/ 28086 h 67789"/>
            <a:gd name="connsiteX2" fmla="*/ 466362 w 616041"/>
            <a:gd name="connsiteY2" fmla="*/ 14479 h 67789"/>
            <a:gd name="connsiteX3" fmla="*/ 85362 w 616041"/>
            <a:gd name="connsiteY3" fmla="*/ 872 h 67789"/>
            <a:gd name="connsiteX4" fmla="*/ 0 w 616041"/>
            <a:gd name="connsiteY4" fmla="*/ 67789 h 67789"/>
            <a:gd name="connsiteX0" fmla="*/ 616041 w 616041"/>
            <a:gd name="connsiteY0" fmla="*/ 40822 h 108894"/>
            <a:gd name="connsiteX1" fmla="*/ 507184 w 616041"/>
            <a:gd name="connsiteY1" fmla="*/ 27215 h 108894"/>
            <a:gd name="connsiteX2" fmla="*/ 346502 w 616041"/>
            <a:gd name="connsiteY2" fmla="*/ 108858 h 108894"/>
            <a:gd name="connsiteX3" fmla="*/ 85362 w 616041"/>
            <a:gd name="connsiteY3" fmla="*/ 1 h 108894"/>
            <a:gd name="connsiteX4" fmla="*/ 0 w 616041"/>
            <a:gd name="connsiteY4" fmla="*/ 66918 h 108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16041" h="108894">
              <a:moveTo>
                <a:pt x="616041" y="40822"/>
              </a:moveTo>
              <a:cubicBezTo>
                <a:pt x="579755" y="36286"/>
                <a:pt x="552107" y="15876"/>
                <a:pt x="507184" y="27215"/>
              </a:cubicBezTo>
              <a:cubicBezTo>
                <a:pt x="462261" y="38554"/>
                <a:pt x="360720" y="110754"/>
                <a:pt x="346502" y="108858"/>
              </a:cubicBezTo>
              <a:cubicBezTo>
                <a:pt x="199248" y="89224"/>
                <a:pt x="240298" y="1"/>
                <a:pt x="85362" y="1"/>
              </a:cubicBezTo>
              <a:cubicBezTo>
                <a:pt x="18975" y="-185"/>
                <a:pt x="3609" y="64316"/>
                <a:pt x="0" y="66918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17325</xdr:colOff>
      <xdr:row>117</xdr:row>
      <xdr:rowOff>32810</xdr:rowOff>
    </xdr:from>
    <xdr:to>
      <xdr:col>33</xdr:col>
      <xdr:colOff>180610</xdr:colOff>
      <xdr:row>117</xdr:row>
      <xdr:rowOff>168880</xdr:rowOff>
    </xdr:to>
    <xdr:sp macro="" textlink="">
      <xdr:nvSpPr>
        <xdr:cNvPr id="172" name="Freeform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5446575" y="21064010"/>
          <a:ext cx="706210" cy="136070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680357 w 680357"/>
            <a:gd name="connsiteY0" fmla="*/ 177764 h 177764"/>
            <a:gd name="connsiteX1" fmla="*/ 421822 w 680357"/>
            <a:gd name="connsiteY1" fmla="*/ 28086 h 177764"/>
            <a:gd name="connsiteX2" fmla="*/ 381000 w 680357"/>
            <a:gd name="connsiteY2" fmla="*/ 14479 h 177764"/>
            <a:gd name="connsiteX3" fmla="*/ 0 w 680357"/>
            <a:gd name="connsiteY3" fmla="*/ 872 h 177764"/>
            <a:gd name="connsiteX0" fmla="*/ 734785 w 734785"/>
            <a:gd name="connsiteY0" fmla="*/ 136942 h 136942"/>
            <a:gd name="connsiteX1" fmla="*/ 421822 w 734785"/>
            <a:gd name="connsiteY1" fmla="*/ 28086 h 136942"/>
            <a:gd name="connsiteX2" fmla="*/ 381000 w 734785"/>
            <a:gd name="connsiteY2" fmla="*/ 14479 h 136942"/>
            <a:gd name="connsiteX3" fmla="*/ 0 w 734785"/>
            <a:gd name="connsiteY3" fmla="*/ 872 h 136942"/>
            <a:gd name="connsiteX0" fmla="*/ 734785 w 734785"/>
            <a:gd name="connsiteY0" fmla="*/ 136070 h 136070"/>
            <a:gd name="connsiteX1" fmla="*/ 421822 w 734785"/>
            <a:gd name="connsiteY1" fmla="*/ 27214 h 136070"/>
            <a:gd name="connsiteX2" fmla="*/ 232344 w 734785"/>
            <a:gd name="connsiteY2" fmla="*/ 70757 h 136070"/>
            <a:gd name="connsiteX3" fmla="*/ 0 w 734785"/>
            <a:gd name="connsiteY3" fmla="*/ 0 h 1360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34785" h="136070">
              <a:moveTo>
                <a:pt x="734785" y="136070"/>
              </a:moveTo>
              <a:cubicBezTo>
                <a:pt x="698499" y="131534"/>
                <a:pt x="505562" y="38099"/>
                <a:pt x="421822" y="27214"/>
              </a:cubicBezTo>
              <a:cubicBezTo>
                <a:pt x="338082" y="16329"/>
                <a:pt x="246562" y="72653"/>
                <a:pt x="232344" y="70757"/>
              </a:cubicBezTo>
              <a:cubicBezTo>
                <a:pt x="85090" y="51123"/>
                <a:pt x="154936" y="0"/>
                <a:pt x="0" y="0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6975</xdr:colOff>
      <xdr:row>110</xdr:row>
      <xdr:rowOff>20589</xdr:rowOff>
    </xdr:from>
    <xdr:to>
      <xdr:col>5</xdr:col>
      <xdr:colOff>114300</xdr:colOff>
      <xdr:row>113</xdr:row>
      <xdr:rowOff>7282</xdr:rowOff>
    </xdr:to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 txBox="1"/>
      </xdr:nvSpPr>
      <xdr:spPr>
        <a:xfrm>
          <a:off x="6975" y="19784964"/>
          <a:ext cx="1012200" cy="5296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HC</a:t>
          </a:r>
        </a:p>
        <a:p>
          <a:r>
            <a:rPr lang="en-US" sz="1000" i="1"/>
            <a:t>(starting point)</a:t>
          </a:r>
        </a:p>
      </xdr:txBody>
    </xdr:sp>
    <xdr:clientData/>
  </xdr:twoCellAnchor>
  <xdr:twoCellAnchor>
    <xdr:from>
      <xdr:col>0</xdr:col>
      <xdr:colOff>153019</xdr:colOff>
      <xdr:row>112</xdr:row>
      <xdr:rowOff>57150</xdr:rowOff>
    </xdr:from>
    <xdr:to>
      <xdr:col>0</xdr:col>
      <xdr:colOff>153019</xdr:colOff>
      <xdr:row>114</xdr:row>
      <xdr:rowOff>20902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 flipH="1">
          <a:off x="153019" y="20183475"/>
          <a:ext cx="0" cy="3257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17565</xdr:colOff>
      <xdr:row>114</xdr:row>
      <xdr:rowOff>139339</xdr:rowOff>
    </xdr:from>
    <xdr:to>
      <xdr:col>33</xdr:col>
      <xdr:colOff>84467</xdr:colOff>
      <xdr:row>116</xdr:row>
      <xdr:rowOff>55153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 txBox="1"/>
      </xdr:nvSpPr>
      <xdr:spPr>
        <a:xfrm>
          <a:off x="5627790" y="20627614"/>
          <a:ext cx="428852" cy="27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HC</a:t>
          </a:r>
        </a:p>
      </xdr:txBody>
    </xdr:sp>
    <xdr:clientData/>
  </xdr:twoCellAnchor>
  <xdr:twoCellAnchor>
    <xdr:from>
      <xdr:col>32</xdr:col>
      <xdr:colOff>72206</xdr:colOff>
      <xdr:row>115</xdr:row>
      <xdr:rowOff>158183</xdr:rowOff>
    </xdr:from>
    <xdr:to>
      <xdr:col>32</xdr:col>
      <xdr:colOff>72207</xdr:colOff>
      <xdr:row>117</xdr:row>
      <xdr:rowOff>17620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CxnSpPr/>
      </xdr:nvCxnSpPr>
      <xdr:spPr>
        <a:xfrm>
          <a:off x="6168206" y="21684683"/>
          <a:ext cx="1" cy="2132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136800</xdr:colOff>
      <xdr:row>119</xdr:row>
      <xdr:rowOff>67234</xdr:rowOff>
    </xdr:from>
    <xdr:to>
      <xdr:col>33</xdr:col>
      <xdr:colOff>44824</xdr:colOff>
      <xdr:row>138</xdr:row>
      <xdr:rowOff>108416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13" r="16697"/>
        <a:stretch/>
      </xdr:blipFill>
      <xdr:spPr>
        <a:xfrm>
          <a:off x="2994300" y="21389627"/>
          <a:ext cx="3337024" cy="340214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5</xdr:col>
      <xdr:colOff>16565</xdr:colOff>
      <xdr:row>92</xdr:row>
      <xdr:rowOff>66261</xdr:rowOff>
    </xdr:from>
    <xdr:to>
      <xdr:col>15</xdr:col>
      <xdr:colOff>107675</xdr:colOff>
      <xdr:row>104</xdr:row>
      <xdr:rowOff>57979</xdr:rowOff>
    </xdr:to>
    <xdr:sp macro="" textlink="">
      <xdr:nvSpPr>
        <xdr:cNvPr id="19" name="Arc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69065" y="17550848"/>
          <a:ext cx="1996110" cy="2178327"/>
        </a:xfrm>
        <a:prstGeom prst="arc">
          <a:avLst>
            <a:gd name="adj1" fmla="val 14530803"/>
            <a:gd name="adj2" fmla="val 282307"/>
          </a:avLst>
        </a:prstGeom>
        <a:ln w="12700">
          <a:solidFill>
            <a:schemeClr val="tx1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60</xdr:row>
          <xdr:rowOff>57150</xdr:rowOff>
        </xdr:from>
        <xdr:to>
          <xdr:col>18</xdr:col>
          <xdr:colOff>152400</xdr:colOff>
          <xdr:row>66</xdr:row>
          <xdr:rowOff>19050</xdr:rowOff>
        </xdr:to>
        <xdr:sp macro="" textlink="">
          <xdr:nvSpPr>
            <xdr:cNvPr id="1157" name="List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85</xdr:row>
          <xdr:rowOff>66675</xdr:rowOff>
        </xdr:from>
        <xdr:to>
          <xdr:col>8</xdr:col>
          <xdr:colOff>66675</xdr:colOff>
          <xdr:row>88</xdr:row>
          <xdr:rowOff>95250</xdr:rowOff>
        </xdr:to>
        <xdr:sp macro="" textlink="">
          <xdr:nvSpPr>
            <xdr:cNvPr id="1160" name="List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85</xdr:row>
          <xdr:rowOff>76200</xdr:rowOff>
        </xdr:from>
        <xdr:to>
          <xdr:col>3</xdr:col>
          <xdr:colOff>57150</xdr:colOff>
          <xdr:row>88</xdr:row>
          <xdr:rowOff>95250</xdr:rowOff>
        </xdr:to>
        <xdr:sp macro="" textlink="">
          <xdr:nvSpPr>
            <xdr:cNvPr id="1161" name="List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20247</xdr:colOff>
      <xdr:row>46</xdr:row>
      <xdr:rowOff>44610</xdr:rowOff>
    </xdr:from>
    <xdr:to>
      <xdr:col>14</xdr:col>
      <xdr:colOff>91004</xdr:colOff>
      <xdr:row>46</xdr:row>
      <xdr:rowOff>44610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>
          <a:off x="20247" y="8501153"/>
          <a:ext cx="273775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28575</xdr:rowOff>
        </xdr:from>
        <xdr:to>
          <xdr:col>23</xdr:col>
          <xdr:colOff>104775</xdr:colOff>
          <xdr:row>64</xdr:row>
          <xdr:rowOff>152400</xdr:rowOff>
        </xdr:to>
        <xdr:sp macro="" textlink="">
          <xdr:nvSpPr>
            <xdr:cNvPr id="1162" name="List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67</xdr:row>
          <xdr:rowOff>57150</xdr:rowOff>
        </xdr:from>
        <xdr:to>
          <xdr:col>6</xdr:col>
          <xdr:colOff>152400</xdr:colOff>
          <xdr:row>73</xdr:row>
          <xdr:rowOff>171450</xdr:rowOff>
        </xdr:to>
        <xdr:sp macro="" textlink="">
          <xdr:nvSpPr>
            <xdr:cNvPr id="1167" name="List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69</xdr:row>
          <xdr:rowOff>28575</xdr:rowOff>
        </xdr:from>
        <xdr:to>
          <xdr:col>11</xdr:col>
          <xdr:colOff>152400</xdr:colOff>
          <xdr:row>73</xdr:row>
          <xdr:rowOff>0</xdr:rowOff>
        </xdr:to>
        <xdr:sp macro="" textlink="">
          <xdr:nvSpPr>
            <xdr:cNvPr id="1168" name="List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67</xdr:row>
          <xdr:rowOff>57150</xdr:rowOff>
        </xdr:from>
        <xdr:to>
          <xdr:col>28</xdr:col>
          <xdr:colOff>152400</xdr:colOff>
          <xdr:row>73</xdr:row>
          <xdr:rowOff>57150</xdr:rowOff>
        </xdr:to>
        <xdr:sp macro="" textlink="">
          <xdr:nvSpPr>
            <xdr:cNvPr id="1169" name="List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104775</xdr:colOff>
          <xdr:row>69</xdr:row>
          <xdr:rowOff>28575</xdr:rowOff>
        </xdr:from>
        <xdr:to>
          <xdr:col>33</xdr:col>
          <xdr:colOff>38100</xdr:colOff>
          <xdr:row>72</xdr:row>
          <xdr:rowOff>152400</xdr:rowOff>
        </xdr:to>
        <xdr:sp macro="" textlink="">
          <xdr:nvSpPr>
            <xdr:cNvPr id="1170" name="List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67</xdr:row>
          <xdr:rowOff>57150</xdr:rowOff>
        </xdr:from>
        <xdr:to>
          <xdr:col>18</xdr:col>
          <xdr:colOff>152400</xdr:colOff>
          <xdr:row>73</xdr:row>
          <xdr:rowOff>171450</xdr:rowOff>
        </xdr:to>
        <xdr:sp macro="" textlink="">
          <xdr:nvSpPr>
            <xdr:cNvPr id="1171" name="List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28575</xdr:rowOff>
        </xdr:from>
        <xdr:to>
          <xdr:col>23</xdr:col>
          <xdr:colOff>104775</xdr:colOff>
          <xdr:row>72</xdr:row>
          <xdr:rowOff>180975</xdr:rowOff>
        </xdr:to>
        <xdr:sp macro="" textlink="">
          <xdr:nvSpPr>
            <xdr:cNvPr id="1172" name="List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161</xdr:row>
          <xdr:rowOff>171450</xdr:rowOff>
        </xdr:from>
        <xdr:to>
          <xdr:col>14</xdr:col>
          <xdr:colOff>76200</xdr:colOff>
          <xdr:row>162</xdr:row>
          <xdr:rowOff>171450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161</xdr:row>
          <xdr:rowOff>171450</xdr:rowOff>
        </xdr:from>
        <xdr:to>
          <xdr:col>21</xdr:col>
          <xdr:colOff>38100</xdr:colOff>
          <xdr:row>162</xdr:row>
          <xdr:rowOff>171450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161</xdr:row>
          <xdr:rowOff>171450</xdr:rowOff>
        </xdr:from>
        <xdr:to>
          <xdr:col>30</xdr:col>
          <xdr:colOff>114300</xdr:colOff>
          <xdr:row>162</xdr:row>
          <xdr:rowOff>171450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164</xdr:row>
          <xdr:rowOff>66675</xdr:rowOff>
        </xdr:from>
        <xdr:to>
          <xdr:col>14</xdr:col>
          <xdr:colOff>76200</xdr:colOff>
          <xdr:row>165</xdr:row>
          <xdr:rowOff>66675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164</xdr:row>
          <xdr:rowOff>66675</xdr:rowOff>
        </xdr:from>
        <xdr:to>
          <xdr:col>21</xdr:col>
          <xdr:colOff>38100</xdr:colOff>
          <xdr:row>165</xdr:row>
          <xdr:rowOff>66675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164</xdr:row>
          <xdr:rowOff>66675</xdr:rowOff>
        </xdr:from>
        <xdr:to>
          <xdr:col>30</xdr:col>
          <xdr:colOff>114300</xdr:colOff>
          <xdr:row>165</xdr:row>
          <xdr:rowOff>66675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169</xdr:row>
          <xdr:rowOff>95250</xdr:rowOff>
        </xdr:from>
        <xdr:to>
          <xdr:col>14</xdr:col>
          <xdr:colOff>76200</xdr:colOff>
          <xdr:row>170</xdr:row>
          <xdr:rowOff>95250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169</xdr:row>
          <xdr:rowOff>95250</xdr:rowOff>
        </xdr:from>
        <xdr:to>
          <xdr:col>21</xdr:col>
          <xdr:colOff>38100</xdr:colOff>
          <xdr:row>170</xdr:row>
          <xdr:rowOff>95250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169</xdr:row>
          <xdr:rowOff>95250</xdr:rowOff>
        </xdr:from>
        <xdr:to>
          <xdr:col>30</xdr:col>
          <xdr:colOff>114300</xdr:colOff>
          <xdr:row>170</xdr:row>
          <xdr:rowOff>95250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53526</xdr:colOff>
      <xdr:row>127</xdr:row>
      <xdr:rowOff>115417</xdr:rowOff>
    </xdr:from>
    <xdr:to>
      <xdr:col>27</xdr:col>
      <xdr:colOff>128098</xdr:colOff>
      <xdr:row>130</xdr:row>
      <xdr:rowOff>60233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 rot="19567932">
          <a:off x="4054026" y="22852953"/>
          <a:ext cx="1217572" cy="475494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MAP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184</xdr:row>
          <xdr:rowOff>28575</xdr:rowOff>
        </xdr:from>
        <xdr:to>
          <xdr:col>14</xdr:col>
          <xdr:colOff>57150</xdr:colOff>
          <xdr:row>184</xdr:row>
          <xdr:rowOff>638175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182</xdr:row>
          <xdr:rowOff>28575</xdr:rowOff>
        </xdr:from>
        <xdr:to>
          <xdr:col>14</xdr:col>
          <xdr:colOff>57150</xdr:colOff>
          <xdr:row>182</xdr:row>
          <xdr:rowOff>638175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182</xdr:row>
          <xdr:rowOff>28575</xdr:rowOff>
        </xdr:from>
        <xdr:to>
          <xdr:col>20</xdr:col>
          <xdr:colOff>0</xdr:colOff>
          <xdr:row>182</xdr:row>
          <xdr:rowOff>857250</xdr:rowOff>
        </xdr:to>
        <xdr:sp macro="" textlink="">
          <xdr:nvSpPr>
            <xdr:cNvPr id="5123" name="List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184</xdr:row>
          <xdr:rowOff>28575</xdr:rowOff>
        </xdr:from>
        <xdr:to>
          <xdr:col>20</xdr:col>
          <xdr:colOff>19050</xdr:colOff>
          <xdr:row>184</xdr:row>
          <xdr:rowOff>819150</xdr:rowOff>
        </xdr:to>
        <xdr:sp macro="" textlink="">
          <xdr:nvSpPr>
            <xdr:cNvPr id="5124" name="List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147</xdr:row>
          <xdr:rowOff>57150</xdr:rowOff>
        </xdr:from>
        <xdr:to>
          <xdr:col>22</xdr:col>
          <xdr:colOff>133350</xdr:colOff>
          <xdr:row>148</xdr:row>
          <xdr:rowOff>0</xdr:rowOff>
        </xdr:to>
        <xdr:sp macro="" textlink="">
          <xdr:nvSpPr>
            <xdr:cNvPr id="5125" name="List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228</xdr:row>
          <xdr:rowOff>28575</xdr:rowOff>
        </xdr:from>
        <xdr:to>
          <xdr:col>12</xdr:col>
          <xdr:colOff>0</xdr:colOff>
          <xdr:row>229</xdr:row>
          <xdr:rowOff>0</xdr:rowOff>
        </xdr:to>
        <xdr:sp macro="" textlink="">
          <xdr:nvSpPr>
            <xdr:cNvPr id="5126" name="Check Box 6" descr="Ye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228</xdr:row>
          <xdr:rowOff>28575</xdr:rowOff>
        </xdr:from>
        <xdr:to>
          <xdr:col>15</xdr:col>
          <xdr:colOff>0</xdr:colOff>
          <xdr:row>229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228</xdr:row>
          <xdr:rowOff>28575</xdr:rowOff>
        </xdr:from>
        <xdr:to>
          <xdr:col>18</xdr:col>
          <xdr:colOff>152400</xdr:colOff>
          <xdr:row>229</xdr:row>
          <xdr:rowOff>0</xdr:rowOff>
        </xdr:to>
        <xdr:sp macro="" textlink="">
          <xdr:nvSpPr>
            <xdr:cNvPr id="5128" name="Check Box 8" descr="Yes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228</xdr:row>
          <xdr:rowOff>28575</xdr:rowOff>
        </xdr:from>
        <xdr:to>
          <xdr:col>21</xdr:col>
          <xdr:colOff>152400</xdr:colOff>
          <xdr:row>229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146</xdr:row>
          <xdr:rowOff>57150</xdr:rowOff>
        </xdr:from>
        <xdr:to>
          <xdr:col>24</xdr:col>
          <xdr:colOff>133350</xdr:colOff>
          <xdr:row>147</xdr:row>
          <xdr:rowOff>0</xdr:rowOff>
        </xdr:to>
        <xdr:sp macro="" textlink="">
          <xdr:nvSpPr>
            <xdr:cNvPr id="5130" name="List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147</xdr:row>
          <xdr:rowOff>57150</xdr:rowOff>
        </xdr:from>
        <xdr:to>
          <xdr:col>12</xdr:col>
          <xdr:colOff>152400</xdr:colOff>
          <xdr:row>148</xdr:row>
          <xdr:rowOff>0</xdr:rowOff>
        </xdr:to>
        <xdr:sp macro="" textlink="">
          <xdr:nvSpPr>
            <xdr:cNvPr id="5131" name="List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146</xdr:row>
          <xdr:rowOff>66675</xdr:rowOff>
        </xdr:from>
        <xdr:to>
          <xdr:col>15</xdr:col>
          <xdr:colOff>0</xdr:colOff>
          <xdr:row>147</xdr:row>
          <xdr:rowOff>0</xdr:rowOff>
        </xdr:to>
        <xdr:sp macro="" textlink="">
          <xdr:nvSpPr>
            <xdr:cNvPr id="5132" name="List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263</xdr:row>
          <xdr:rowOff>38100</xdr:rowOff>
        </xdr:from>
        <xdr:to>
          <xdr:col>18</xdr:col>
          <xdr:colOff>133350</xdr:colOff>
          <xdr:row>264</xdr:row>
          <xdr:rowOff>152400</xdr:rowOff>
        </xdr:to>
        <xdr:sp macro="" textlink="">
          <xdr:nvSpPr>
            <xdr:cNvPr id="5133" name="Check Box 13" descr="Yes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266</xdr:row>
          <xdr:rowOff>28575</xdr:rowOff>
        </xdr:from>
        <xdr:to>
          <xdr:col>18</xdr:col>
          <xdr:colOff>133350</xdr:colOff>
          <xdr:row>267</xdr:row>
          <xdr:rowOff>152400</xdr:rowOff>
        </xdr:to>
        <xdr:sp macro="" textlink="">
          <xdr:nvSpPr>
            <xdr:cNvPr id="5134" name="Check Box 14" descr="Ye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263</xdr:row>
          <xdr:rowOff>28575</xdr:rowOff>
        </xdr:from>
        <xdr:to>
          <xdr:col>21</xdr:col>
          <xdr:colOff>133350</xdr:colOff>
          <xdr:row>264</xdr:row>
          <xdr:rowOff>152400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266</xdr:row>
          <xdr:rowOff>28575</xdr:rowOff>
        </xdr:from>
        <xdr:to>
          <xdr:col>21</xdr:col>
          <xdr:colOff>133350</xdr:colOff>
          <xdr:row>267</xdr:row>
          <xdr:rowOff>152400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57150</xdr:rowOff>
        </xdr:from>
        <xdr:to>
          <xdr:col>9</xdr:col>
          <xdr:colOff>57150</xdr:colOff>
          <xdr:row>57</xdr:row>
          <xdr:rowOff>104775</xdr:rowOff>
        </xdr:to>
        <xdr:sp macro="" textlink="">
          <xdr:nvSpPr>
            <xdr:cNvPr id="5137" name="List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50</xdr:row>
          <xdr:rowOff>9525</xdr:rowOff>
        </xdr:from>
        <xdr:to>
          <xdr:col>17</xdr:col>
          <xdr:colOff>104775</xdr:colOff>
          <xdr:row>55</xdr:row>
          <xdr:rowOff>152400</xdr:rowOff>
        </xdr:to>
        <xdr:sp macro="" textlink="">
          <xdr:nvSpPr>
            <xdr:cNvPr id="5138" name="List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57150</xdr:rowOff>
        </xdr:from>
        <xdr:to>
          <xdr:col>6</xdr:col>
          <xdr:colOff>152400</xdr:colOff>
          <xdr:row>66</xdr:row>
          <xdr:rowOff>19050</xdr:rowOff>
        </xdr:to>
        <xdr:sp macro="" textlink="">
          <xdr:nvSpPr>
            <xdr:cNvPr id="5139" name="List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61</xdr:row>
          <xdr:rowOff>28575</xdr:rowOff>
        </xdr:from>
        <xdr:to>
          <xdr:col>11</xdr:col>
          <xdr:colOff>152400</xdr:colOff>
          <xdr:row>64</xdr:row>
          <xdr:rowOff>152400</xdr:rowOff>
        </xdr:to>
        <xdr:sp macro="" textlink="">
          <xdr:nvSpPr>
            <xdr:cNvPr id="5140" name="List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60</xdr:row>
          <xdr:rowOff>57150</xdr:rowOff>
        </xdr:from>
        <xdr:to>
          <xdr:col>28</xdr:col>
          <xdr:colOff>152400</xdr:colOff>
          <xdr:row>65</xdr:row>
          <xdr:rowOff>95250</xdr:rowOff>
        </xdr:to>
        <xdr:sp macro="" textlink="">
          <xdr:nvSpPr>
            <xdr:cNvPr id="5141" name="List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77</xdr:row>
          <xdr:rowOff>28575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150" name="List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77</xdr:row>
          <xdr:rowOff>28575</xdr:rowOff>
        </xdr:from>
        <xdr:to>
          <xdr:col>9</xdr:col>
          <xdr:colOff>66675</xdr:colOff>
          <xdr:row>80</xdr:row>
          <xdr:rowOff>152400</xdr:rowOff>
        </xdr:to>
        <xdr:sp macro="" textlink="">
          <xdr:nvSpPr>
            <xdr:cNvPr id="5151" name="List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104775</xdr:colOff>
          <xdr:row>61</xdr:row>
          <xdr:rowOff>28575</xdr:rowOff>
        </xdr:from>
        <xdr:to>
          <xdr:col>33</xdr:col>
          <xdr:colOff>38100</xdr:colOff>
          <xdr:row>64</xdr:row>
          <xdr:rowOff>133350</xdr:rowOff>
        </xdr:to>
        <xdr:sp macro="" textlink="">
          <xdr:nvSpPr>
            <xdr:cNvPr id="5152" name="List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117556</xdr:colOff>
      <xdr:row>115</xdr:row>
      <xdr:rowOff>102249</xdr:rowOff>
    </xdr:from>
    <xdr:to>
      <xdr:col>29</xdr:col>
      <xdr:colOff>178937</xdr:colOff>
      <xdr:row>119</xdr:row>
      <xdr:rowOff>117360</xdr:rowOff>
    </xdr:to>
    <xdr:sp macro="" textlink="">
      <xdr:nvSpPr>
        <xdr:cNvPr id="34" name="Freeform 14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689056" y="20590524"/>
          <a:ext cx="5014381" cy="739011"/>
        </a:xfrm>
        <a:custGeom>
          <a:avLst/>
          <a:gdLst>
            <a:gd name="connsiteX0" fmla="*/ 0 w 5269134"/>
            <a:gd name="connsiteY0" fmla="*/ 0 h 486663"/>
            <a:gd name="connsiteX1" fmla="*/ 66675 w 5269134"/>
            <a:gd name="connsiteY1" fmla="*/ 28575 h 486663"/>
            <a:gd name="connsiteX2" fmla="*/ 209550 w 5269134"/>
            <a:gd name="connsiteY2" fmla="*/ 47625 h 486663"/>
            <a:gd name="connsiteX3" fmla="*/ 304800 w 5269134"/>
            <a:gd name="connsiteY3" fmla="*/ 38100 h 486663"/>
            <a:gd name="connsiteX4" fmla="*/ 342900 w 5269134"/>
            <a:gd name="connsiteY4" fmla="*/ 28575 h 486663"/>
            <a:gd name="connsiteX5" fmla="*/ 409575 w 5269134"/>
            <a:gd name="connsiteY5" fmla="*/ 38100 h 486663"/>
            <a:gd name="connsiteX6" fmla="*/ 438150 w 5269134"/>
            <a:gd name="connsiteY6" fmla="*/ 57150 h 486663"/>
            <a:gd name="connsiteX7" fmla="*/ 495300 w 5269134"/>
            <a:gd name="connsiteY7" fmla="*/ 76200 h 486663"/>
            <a:gd name="connsiteX8" fmla="*/ 542925 w 5269134"/>
            <a:gd name="connsiteY8" fmla="*/ 66675 h 486663"/>
            <a:gd name="connsiteX9" fmla="*/ 600075 w 5269134"/>
            <a:gd name="connsiteY9" fmla="*/ 28575 h 486663"/>
            <a:gd name="connsiteX10" fmla="*/ 704850 w 5269134"/>
            <a:gd name="connsiteY10" fmla="*/ 19050 h 486663"/>
            <a:gd name="connsiteX11" fmla="*/ 790575 w 5269134"/>
            <a:gd name="connsiteY11" fmla="*/ 38100 h 486663"/>
            <a:gd name="connsiteX12" fmla="*/ 819150 w 5269134"/>
            <a:gd name="connsiteY12" fmla="*/ 47625 h 486663"/>
            <a:gd name="connsiteX13" fmla="*/ 904875 w 5269134"/>
            <a:gd name="connsiteY13" fmla="*/ 66675 h 486663"/>
            <a:gd name="connsiteX14" fmla="*/ 1028700 w 5269134"/>
            <a:gd name="connsiteY14" fmla="*/ 28575 h 486663"/>
            <a:gd name="connsiteX15" fmla="*/ 1123950 w 5269134"/>
            <a:gd name="connsiteY15" fmla="*/ 57150 h 486663"/>
            <a:gd name="connsiteX16" fmla="*/ 1143000 w 5269134"/>
            <a:gd name="connsiteY16" fmla="*/ 95250 h 486663"/>
            <a:gd name="connsiteX17" fmla="*/ 1190625 w 5269134"/>
            <a:gd name="connsiteY17" fmla="*/ 133350 h 486663"/>
            <a:gd name="connsiteX18" fmla="*/ 1228725 w 5269134"/>
            <a:gd name="connsiteY18" fmla="*/ 171450 h 486663"/>
            <a:gd name="connsiteX19" fmla="*/ 1257300 w 5269134"/>
            <a:gd name="connsiteY19" fmla="*/ 209550 h 486663"/>
            <a:gd name="connsiteX20" fmla="*/ 1333500 w 5269134"/>
            <a:gd name="connsiteY20" fmla="*/ 219075 h 486663"/>
            <a:gd name="connsiteX21" fmla="*/ 1466850 w 5269134"/>
            <a:gd name="connsiteY21" fmla="*/ 228600 h 486663"/>
            <a:gd name="connsiteX22" fmla="*/ 1590675 w 5269134"/>
            <a:gd name="connsiteY22" fmla="*/ 200025 h 486663"/>
            <a:gd name="connsiteX23" fmla="*/ 1619250 w 5269134"/>
            <a:gd name="connsiteY23" fmla="*/ 190500 h 486663"/>
            <a:gd name="connsiteX24" fmla="*/ 1657350 w 5269134"/>
            <a:gd name="connsiteY24" fmla="*/ 200025 h 486663"/>
            <a:gd name="connsiteX25" fmla="*/ 1743075 w 5269134"/>
            <a:gd name="connsiteY25" fmla="*/ 171450 h 486663"/>
            <a:gd name="connsiteX26" fmla="*/ 1819275 w 5269134"/>
            <a:gd name="connsiteY26" fmla="*/ 123825 h 486663"/>
            <a:gd name="connsiteX27" fmla="*/ 1876425 w 5269134"/>
            <a:gd name="connsiteY27" fmla="*/ 104775 h 486663"/>
            <a:gd name="connsiteX28" fmla="*/ 1924050 w 5269134"/>
            <a:gd name="connsiteY28" fmla="*/ 57150 h 486663"/>
            <a:gd name="connsiteX29" fmla="*/ 1952625 w 5269134"/>
            <a:gd name="connsiteY29" fmla="*/ 66675 h 486663"/>
            <a:gd name="connsiteX30" fmla="*/ 1981200 w 5269134"/>
            <a:gd name="connsiteY30" fmla="*/ 57150 h 486663"/>
            <a:gd name="connsiteX31" fmla="*/ 2095500 w 5269134"/>
            <a:gd name="connsiteY31" fmla="*/ 85725 h 486663"/>
            <a:gd name="connsiteX32" fmla="*/ 2152650 w 5269134"/>
            <a:gd name="connsiteY32" fmla="*/ 95250 h 486663"/>
            <a:gd name="connsiteX33" fmla="*/ 2181225 w 5269134"/>
            <a:gd name="connsiteY33" fmla="*/ 104775 h 486663"/>
            <a:gd name="connsiteX34" fmla="*/ 2333625 w 5269134"/>
            <a:gd name="connsiteY34" fmla="*/ 114300 h 486663"/>
            <a:gd name="connsiteX35" fmla="*/ 2438400 w 5269134"/>
            <a:gd name="connsiteY35" fmla="*/ 152400 h 486663"/>
            <a:gd name="connsiteX36" fmla="*/ 2486025 w 5269134"/>
            <a:gd name="connsiteY36" fmla="*/ 161925 h 486663"/>
            <a:gd name="connsiteX37" fmla="*/ 2543175 w 5269134"/>
            <a:gd name="connsiteY37" fmla="*/ 171450 h 486663"/>
            <a:gd name="connsiteX38" fmla="*/ 2638425 w 5269134"/>
            <a:gd name="connsiteY38" fmla="*/ 180975 h 486663"/>
            <a:gd name="connsiteX39" fmla="*/ 2657475 w 5269134"/>
            <a:gd name="connsiteY39" fmla="*/ 209550 h 486663"/>
            <a:gd name="connsiteX40" fmla="*/ 2714625 w 5269134"/>
            <a:gd name="connsiteY40" fmla="*/ 257175 h 486663"/>
            <a:gd name="connsiteX41" fmla="*/ 2733675 w 5269134"/>
            <a:gd name="connsiteY41" fmla="*/ 285750 h 486663"/>
            <a:gd name="connsiteX42" fmla="*/ 2771775 w 5269134"/>
            <a:gd name="connsiteY42" fmla="*/ 314325 h 486663"/>
            <a:gd name="connsiteX43" fmla="*/ 2857500 w 5269134"/>
            <a:gd name="connsiteY43" fmla="*/ 361950 h 486663"/>
            <a:gd name="connsiteX44" fmla="*/ 2905125 w 5269134"/>
            <a:gd name="connsiteY44" fmla="*/ 381000 h 486663"/>
            <a:gd name="connsiteX45" fmla="*/ 3000375 w 5269134"/>
            <a:gd name="connsiteY45" fmla="*/ 400050 h 486663"/>
            <a:gd name="connsiteX46" fmla="*/ 3028950 w 5269134"/>
            <a:gd name="connsiteY46" fmla="*/ 409575 h 486663"/>
            <a:gd name="connsiteX47" fmla="*/ 3114675 w 5269134"/>
            <a:gd name="connsiteY47" fmla="*/ 428625 h 486663"/>
            <a:gd name="connsiteX48" fmla="*/ 3209925 w 5269134"/>
            <a:gd name="connsiteY48" fmla="*/ 438150 h 486663"/>
            <a:gd name="connsiteX49" fmla="*/ 3362325 w 5269134"/>
            <a:gd name="connsiteY49" fmla="*/ 457200 h 486663"/>
            <a:gd name="connsiteX50" fmla="*/ 3638550 w 5269134"/>
            <a:gd name="connsiteY50" fmla="*/ 476250 h 486663"/>
            <a:gd name="connsiteX51" fmla="*/ 3781425 w 5269134"/>
            <a:gd name="connsiteY51" fmla="*/ 466725 h 486663"/>
            <a:gd name="connsiteX52" fmla="*/ 3848100 w 5269134"/>
            <a:gd name="connsiteY52" fmla="*/ 438150 h 486663"/>
            <a:gd name="connsiteX53" fmla="*/ 3924300 w 5269134"/>
            <a:gd name="connsiteY53" fmla="*/ 428625 h 486663"/>
            <a:gd name="connsiteX54" fmla="*/ 3962400 w 5269134"/>
            <a:gd name="connsiteY54" fmla="*/ 419100 h 486663"/>
            <a:gd name="connsiteX55" fmla="*/ 4038600 w 5269134"/>
            <a:gd name="connsiteY55" fmla="*/ 390525 h 486663"/>
            <a:gd name="connsiteX56" fmla="*/ 4076700 w 5269134"/>
            <a:gd name="connsiteY56" fmla="*/ 352425 h 486663"/>
            <a:gd name="connsiteX57" fmla="*/ 4114800 w 5269134"/>
            <a:gd name="connsiteY57" fmla="*/ 342900 h 486663"/>
            <a:gd name="connsiteX58" fmla="*/ 4476750 w 5269134"/>
            <a:gd name="connsiteY58" fmla="*/ 352425 h 486663"/>
            <a:gd name="connsiteX59" fmla="*/ 4505325 w 5269134"/>
            <a:gd name="connsiteY59" fmla="*/ 371475 h 486663"/>
            <a:gd name="connsiteX60" fmla="*/ 4933950 w 5269134"/>
            <a:gd name="connsiteY60" fmla="*/ 371475 h 486663"/>
            <a:gd name="connsiteX61" fmla="*/ 5267325 w 5269134"/>
            <a:gd name="connsiteY61" fmla="*/ 419100 h 486663"/>
            <a:gd name="connsiteX62" fmla="*/ 5229225 w 5269134"/>
            <a:gd name="connsiteY62" fmla="*/ 438150 h 486663"/>
            <a:gd name="connsiteX0" fmla="*/ 0 w 5312584"/>
            <a:gd name="connsiteY0" fmla="*/ 0 h 486663"/>
            <a:gd name="connsiteX1" fmla="*/ 66675 w 5312584"/>
            <a:gd name="connsiteY1" fmla="*/ 28575 h 486663"/>
            <a:gd name="connsiteX2" fmla="*/ 209550 w 5312584"/>
            <a:gd name="connsiteY2" fmla="*/ 47625 h 486663"/>
            <a:gd name="connsiteX3" fmla="*/ 304800 w 5312584"/>
            <a:gd name="connsiteY3" fmla="*/ 38100 h 486663"/>
            <a:gd name="connsiteX4" fmla="*/ 342900 w 5312584"/>
            <a:gd name="connsiteY4" fmla="*/ 28575 h 486663"/>
            <a:gd name="connsiteX5" fmla="*/ 409575 w 5312584"/>
            <a:gd name="connsiteY5" fmla="*/ 38100 h 486663"/>
            <a:gd name="connsiteX6" fmla="*/ 438150 w 5312584"/>
            <a:gd name="connsiteY6" fmla="*/ 57150 h 486663"/>
            <a:gd name="connsiteX7" fmla="*/ 495300 w 5312584"/>
            <a:gd name="connsiteY7" fmla="*/ 76200 h 486663"/>
            <a:gd name="connsiteX8" fmla="*/ 542925 w 5312584"/>
            <a:gd name="connsiteY8" fmla="*/ 66675 h 486663"/>
            <a:gd name="connsiteX9" fmla="*/ 600075 w 5312584"/>
            <a:gd name="connsiteY9" fmla="*/ 28575 h 486663"/>
            <a:gd name="connsiteX10" fmla="*/ 704850 w 5312584"/>
            <a:gd name="connsiteY10" fmla="*/ 19050 h 486663"/>
            <a:gd name="connsiteX11" fmla="*/ 790575 w 5312584"/>
            <a:gd name="connsiteY11" fmla="*/ 38100 h 486663"/>
            <a:gd name="connsiteX12" fmla="*/ 819150 w 5312584"/>
            <a:gd name="connsiteY12" fmla="*/ 47625 h 486663"/>
            <a:gd name="connsiteX13" fmla="*/ 904875 w 5312584"/>
            <a:gd name="connsiteY13" fmla="*/ 66675 h 486663"/>
            <a:gd name="connsiteX14" fmla="*/ 1028700 w 5312584"/>
            <a:gd name="connsiteY14" fmla="*/ 28575 h 486663"/>
            <a:gd name="connsiteX15" fmla="*/ 1123950 w 5312584"/>
            <a:gd name="connsiteY15" fmla="*/ 57150 h 486663"/>
            <a:gd name="connsiteX16" fmla="*/ 1143000 w 5312584"/>
            <a:gd name="connsiteY16" fmla="*/ 95250 h 486663"/>
            <a:gd name="connsiteX17" fmla="*/ 1190625 w 5312584"/>
            <a:gd name="connsiteY17" fmla="*/ 133350 h 486663"/>
            <a:gd name="connsiteX18" fmla="*/ 1228725 w 5312584"/>
            <a:gd name="connsiteY18" fmla="*/ 171450 h 486663"/>
            <a:gd name="connsiteX19" fmla="*/ 1257300 w 5312584"/>
            <a:gd name="connsiteY19" fmla="*/ 209550 h 486663"/>
            <a:gd name="connsiteX20" fmla="*/ 1333500 w 5312584"/>
            <a:gd name="connsiteY20" fmla="*/ 219075 h 486663"/>
            <a:gd name="connsiteX21" fmla="*/ 1466850 w 5312584"/>
            <a:gd name="connsiteY21" fmla="*/ 228600 h 486663"/>
            <a:gd name="connsiteX22" fmla="*/ 1590675 w 5312584"/>
            <a:gd name="connsiteY22" fmla="*/ 200025 h 486663"/>
            <a:gd name="connsiteX23" fmla="*/ 1619250 w 5312584"/>
            <a:gd name="connsiteY23" fmla="*/ 190500 h 486663"/>
            <a:gd name="connsiteX24" fmla="*/ 1657350 w 5312584"/>
            <a:gd name="connsiteY24" fmla="*/ 200025 h 486663"/>
            <a:gd name="connsiteX25" fmla="*/ 1743075 w 5312584"/>
            <a:gd name="connsiteY25" fmla="*/ 171450 h 486663"/>
            <a:gd name="connsiteX26" fmla="*/ 1819275 w 5312584"/>
            <a:gd name="connsiteY26" fmla="*/ 123825 h 486663"/>
            <a:gd name="connsiteX27" fmla="*/ 1876425 w 5312584"/>
            <a:gd name="connsiteY27" fmla="*/ 104775 h 486663"/>
            <a:gd name="connsiteX28" fmla="*/ 1924050 w 5312584"/>
            <a:gd name="connsiteY28" fmla="*/ 57150 h 486663"/>
            <a:gd name="connsiteX29" fmla="*/ 1952625 w 5312584"/>
            <a:gd name="connsiteY29" fmla="*/ 66675 h 486663"/>
            <a:gd name="connsiteX30" fmla="*/ 1981200 w 5312584"/>
            <a:gd name="connsiteY30" fmla="*/ 57150 h 486663"/>
            <a:gd name="connsiteX31" fmla="*/ 2095500 w 5312584"/>
            <a:gd name="connsiteY31" fmla="*/ 85725 h 486663"/>
            <a:gd name="connsiteX32" fmla="*/ 2152650 w 5312584"/>
            <a:gd name="connsiteY32" fmla="*/ 95250 h 486663"/>
            <a:gd name="connsiteX33" fmla="*/ 2181225 w 5312584"/>
            <a:gd name="connsiteY33" fmla="*/ 104775 h 486663"/>
            <a:gd name="connsiteX34" fmla="*/ 2333625 w 5312584"/>
            <a:gd name="connsiteY34" fmla="*/ 114300 h 486663"/>
            <a:gd name="connsiteX35" fmla="*/ 2438400 w 5312584"/>
            <a:gd name="connsiteY35" fmla="*/ 152400 h 486663"/>
            <a:gd name="connsiteX36" fmla="*/ 2486025 w 5312584"/>
            <a:gd name="connsiteY36" fmla="*/ 161925 h 486663"/>
            <a:gd name="connsiteX37" fmla="*/ 2543175 w 5312584"/>
            <a:gd name="connsiteY37" fmla="*/ 171450 h 486663"/>
            <a:gd name="connsiteX38" fmla="*/ 2638425 w 5312584"/>
            <a:gd name="connsiteY38" fmla="*/ 180975 h 486663"/>
            <a:gd name="connsiteX39" fmla="*/ 2657475 w 5312584"/>
            <a:gd name="connsiteY39" fmla="*/ 209550 h 486663"/>
            <a:gd name="connsiteX40" fmla="*/ 2714625 w 5312584"/>
            <a:gd name="connsiteY40" fmla="*/ 257175 h 486663"/>
            <a:gd name="connsiteX41" fmla="*/ 2733675 w 5312584"/>
            <a:gd name="connsiteY41" fmla="*/ 285750 h 486663"/>
            <a:gd name="connsiteX42" fmla="*/ 2771775 w 5312584"/>
            <a:gd name="connsiteY42" fmla="*/ 314325 h 486663"/>
            <a:gd name="connsiteX43" fmla="*/ 2857500 w 5312584"/>
            <a:gd name="connsiteY43" fmla="*/ 361950 h 486663"/>
            <a:gd name="connsiteX44" fmla="*/ 2905125 w 5312584"/>
            <a:gd name="connsiteY44" fmla="*/ 381000 h 486663"/>
            <a:gd name="connsiteX45" fmla="*/ 3000375 w 5312584"/>
            <a:gd name="connsiteY45" fmla="*/ 400050 h 486663"/>
            <a:gd name="connsiteX46" fmla="*/ 3028950 w 5312584"/>
            <a:gd name="connsiteY46" fmla="*/ 409575 h 486663"/>
            <a:gd name="connsiteX47" fmla="*/ 3114675 w 5312584"/>
            <a:gd name="connsiteY47" fmla="*/ 428625 h 486663"/>
            <a:gd name="connsiteX48" fmla="*/ 3209925 w 5312584"/>
            <a:gd name="connsiteY48" fmla="*/ 438150 h 486663"/>
            <a:gd name="connsiteX49" fmla="*/ 3362325 w 5312584"/>
            <a:gd name="connsiteY49" fmla="*/ 457200 h 486663"/>
            <a:gd name="connsiteX50" fmla="*/ 3638550 w 5312584"/>
            <a:gd name="connsiteY50" fmla="*/ 476250 h 486663"/>
            <a:gd name="connsiteX51" fmla="*/ 3781425 w 5312584"/>
            <a:gd name="connsiteY51" fmla="*/ 466725 h 486663"/>
            <a:gd name="connsiteX52" fmla="*/ 3848100 w 5312584"/>
            <a:gd name="connsiteY52" fmla="*/ 438150 h 486663"/>
            <a:gd name="connsiteX53" fmla="*/ 3924300 w 5312584"/>
            <a:gd name="connsiteY53" fmla="*/ 428625 h 486663"/>
            <a:gd name="connsiteX54" fmla="*/ 3962400 w 5312584"/>
            <a:gd name="connsiteY54" fmla="*/ 419100 h 486663"/>
            <a:gd name="connsiteX55" fmla="*/ 4038600 w 5312584"/>
            <a:gd name="connsiteY55" fmla="*/ 390525 h 486663"/>
            <a:gd name="connsiteX56" fmla="*/ 4076700 w 5312584"/>
            <a:gd name="connsiteY56" fmla="*/ 352425 h 486663"/>
            <a:gd name="connsiteX57" fmla="*/ 4114800 w 5312584"/>
            <a:gd name="connsiteY57" fmla="*/ 342900 h 486663"/>
            <a:gd name="connsiteX58" fmla="*/ 4476750 w 5312584"/>
            <a:gd name="connsiteY58" fmla="*/ 352425 h 486663"/>
            <a:gd name="connsiteX59" fmla="*/ 4505325 w 5312584"/>
            <a:gd name="connsiteY59" fmla="*/ 371475 h 486663"/>
            <a:gd name="connsiteX60" fmla="*/ 5267325 w 5312584"/>
            <a:gd name="connsiteY60" fmla="*/ 419100 h 486663"/>
            <a:gd name="connsiteX61" fmla="*/ 5229225 w 5312584"/>
            <a:gd name="connsiteY61" fmla="*/ 438150 h 486663"/>
            <a:gd name="connsiteX0" fmla="*/ 0 w 5267325"/>
            <a:gd name="connsiteY0" fmla="*/ 0 h 486663"/>
            <a:gd name="connsiteX1" fmla="*/ 66675 w 5267325"/>
            <a:gd name="connsiteY1" fmla="*/ 28575 h 486663"/>
            <a:gd name="connsiteX2" fmla="*/ 209550 w 5267325"/>
            <a:gd name="connsiteY2" fmla="*/ 47625 h 486663"/>
            <a:gd name="connsiteX3" fmla="*/ 304800 w 5267325"/>
            <a:gd name="connsiteY3" fmla="*/ 38100 h 486663"/>
            <a:gd name="connsiteX4" fmla="*/ 342900 w 5267325"/>
            <a:gd name="connsiteY4" fmla="*/ 28575 h 486663"/>
            <a:gd name="connsiteX5" fmla="*/ 409575 w 5267325"/>
            <a:gd name="connsiteY5" fmla="*/ 38100 h 486663"/>
            <a:gd name="connsiteX6" fmla="*/ 438150 w 5267325"/>
            <a:gd name="connsiteY6" fmla="*/ 57150 h 486663"/>
            <a:gd name="connsiteX7" fmla="*/ 495300 w 5267325"/>
            <a:gd name="connsiteY7" fmla="*/ 76200 h 486663"/>
            <a:gd name="connsiteX8" fmla="*/ 542925 w 5267325"/>
            <a:gd name="connsiteY8" fmla="*/ 66675 h 486663"/>
            <a:gd name="connsiteX9" fmla="*/ 600075 w 5267325"/>
            <a:gd name="connsiteY9" fmla="*/ 28575 h 486663"/>
            <a:gd name="connsiteX10" fmla="*/ 704850 w 5267325"/>
            <a:gd name="connsiteY10" fmla="*/ 19050 h 486663"/>
            <a:gd name="connsiteX11" fmla="*/ 790575 w 5267325"/>
            <a:gd name="connsiteY11" fmla="*/ 38100 h 486663"/>
            <a:gd name="connsiteX12" fmla="*/ 819150 w 5267325"/>
            <a:gd name="connsiteY12" fmla="*/ 47625 h 486663"/>
            <a:gd name="connsiteX13" fmla="*/ 904875 w 5267325"/>
            <a:gd name="connsiteY13" fmla="*/ 66675 h 486663"/>
            <a:gd name="connsiteX14" fmla="*/ 1028700 w 5267325"/>
            <a:gd name="connsiteY14" fmla="*/ 28575 h 486663"/>
            <a:gd name="connsiteX15" fmla="*/ 1123950 w 5267325"/>
            <a:gd name="connsiteY15" fmla="*/ 57150 h 486663"/>
            <a:gd name="connsiteX16" fmla="*/ 1143000 w 5267325"/>
            <a:gd name="connsiteY16" fmla="*/ 95250 h 486663"/>
            <a:gd name="connsiteX17" fmla="*/ 1190625 w 5267325"/>
            <a:gd name="connsiteY17" fmla="*/ 133350 h 486663"/>
            <a:gd name="connsiteX18" fmla="*/ 1228725 w 5267325"/>
            <a:gd name="connsiteY18" fmla="*/ 171450 h 486663"/>
            <a:gd name="connsiteX19" fmla="*/ 1257300 w 5267325"/>
            <a:gd name="connsiteY19" fmla="*/ 209550 h 486663"/>
            <a:gd name="connsiteX20" fmla="*/ 1333500 w 5267325"/>
            <a:gd name="connsiteY20" fmla="*/ 219075 h 486663"/>
            <a:gd name="connsiteX21" fmla="*/ 1466850 w 5267325"/>
            <a:gd name="connsiteY21" fmla="*/ 228600 h 486663"/>
            <a:gd name="connsiteX22" fmla="*/ 1590675 w 5267325"/>
            <a:gd name="connsiteY22" fmla="*/ 200025 h 486663"/>
            <a:gd name="connsiteX23" fmla="*/ 1619250 w 5267325"/>
            <a:gd name="connsiteY23" fmla="*/ 190500 h 486663"/>
            <a:gd name="connsiteX24" fmla="*/ 1657350 w 5267325"/>
            <a:gd name="connsiteY24" fmla="*/ 200025 h 486663"/>
            <a:gd name="connsiteX25" fmla="*/ 1743075 w 5267325"/>
            <a:gd name="connsiteY25" fmla="*/ 171450 h 486663"/>
            <a:gd name="connsiteX26" fmla="*/ 1819275 w 5267325"/>
            <a:gd name="connsiteY26" fmla="*/ 123825 h 486663"/>
            <a:gd name="connsiteX27" fmla="*/ 1876425 w 5267325"/>
            <a:gd name="connsiteY27" fmla="*/ 104775 h 486663"/>
            <a:gd name="connsiteX28" fmla="*/ 1924050 w 5267325"/>
            <a:gd name="connsiteY28" fmla="*/ 57150 h 486663"/>
            <a:gd name="connsiteX29" fmla="*/ 1952625 w 5267325"/>
            <a:gd name="connsiteY29" fmla="*/ 66675 h 486663"/>
            <a:gd name="connsiteX30" fmla="*/ 1981200 w 5267325"/>
            <a:gd name="connsiteY30" fmla="*/ 57150 h 486663"/>
            <a:gd name="connsiteX31" fmla="*/ 2095500 w 5267325"/>
            <a:gd name="connsiteY31" fmla="*/ 85725 h 486663"/>
            <a:gd name="connsiteX32" fmla="*/ 2152650 w 5267325"/>
            <a:gd name="connsiteY32" fmla="*/ 95250 h 486663"/>
            <a:gd name="connsiteX33" fmla="*/ 2181225 w 5267325"/>
            <a:gd name="connsiteY33" fmla="*/ 104775 h 486663"/>
            <a:gd name="connsiteX34" fmla="*/ 2333625 w 5267325"/>
            <a:gd name="connsiteY34" fmla="*/ 114300 h 486663"/>
            <a:gd name="connsiteX35" fmla="*/ 2438400 w 5267325"/>
            <a:gd name="connsiteY35" fmla="*/ 152400 h 486663"/>
            <a:gd name="connsiteX36" fmla="*/ 2486025 w 5267325"/>
            <a:gd name="connsiteY36" fmla="*/ 161925 h 486663"/>
            <a:gd name="connsiteX37" fmla="*/ 2543175 w 5267325"/>
            <a:gd name="connsiteY37" fmla="*/ 171450 h 486663"/>
            <a:gd name="connsiteX38" fmla="*/ 2638425 w 5267325"/>
            <a:gd name="connsiteY38" fmla="*/ 180975 h 486663"/>
            <a:gd name="connsiteX39" fmla="*/ 2657475 w 5267325"/>
            <a:gd name="connsiteY39" fmla="*/ 209550 h 486663"/>
            <a:gd name="connsiteX40" fmla="*/ 2714625 w 5267325"/>
            <a:gd name="connsiteY40" fmla="*/ 257175 h 486663"/>
            <a:gd name="connsiteX41" fmla="*/ 2733675 w 5267325"/>
            <a:gd name="connsiteY41" fmla="*/ 285750 h 486663"/>
            <a:gd name="connsiteX42" fmla="*/ 2771775 w 5267325"/>
            <a:gd name="connsiteY42" fmla="*/ 314325 h 486663"/>
            <a:gd name="connsiteX43" fmla="*/ 2857500 w 5267325"/>
            <a:gd name="connsiteY43" fmla="*/ 361950 h 486663"/>
            <a:gd name="connsiteX44" fmla="*/ 2905125 w 5267325"/>
            <a:gd name="connsiteY44" fmla="*/ 381000 h 486663"/>
            <a:gd name="connsiteX45" fmla="*/ 3000375 w 5267325"/>
            <a:gd name="connsiteY45" fmla="*/ 400050 h 486663"/>
            <a:gd name="connsiteX46" fmla="*/ 3028950 w 5267325"/>
            <a:gd name="connsiteY46" fmla="*/ 409575 h 486663"/>
            <a:gd name="connsiteX47" fmla="*/ 3114675 w 5267325"/>
            <a:gd name="connsiteY47" fmla="*/ 428625 h 486663"/>
            <a:gd name="connsiteX48" fmla="*/ 3209925 w 5267325"/>
            <a:gd name="connsiteY48" fmla="*/ 438150 h 486663"/>
            <a:gd name="connsiteX49" fmla="*/ 3362325 w 5267325"/>
            <a:gd name="connsiteY49" fmla="*/ 457200 h 486663"/>
            <a:gd name="connsiteX50" fmla="*/ 3638550 w 5267325"/>
            <a:gd name="connsiteY50" fmla="*/ 476250 h 486663"/>
            <a:gd name="connsiteX51" fmla="*/ 3781425 w 5267325"/>
            <a:gd name="connsiteY51" fmla="*/ 466725 h 486663"/>
            <a:gd name="connsiteX52" fmla="*/ 3848100 w 5267325"/>
            <a:gd name="connsiteY52" fmla="*/ 438150 h 486663"/>
            <a:gd name="connsiteX53" fmla="*/ 3924300 w 5267325"/>
            <a:gd name="connsiteY53" fmla="*/ 428625 h 486663"/>
            <a:gd name="connsiteX54" fmla="*/ 3962400 w 5267325"/>
            <a:gd name="connsiteY54" fmla="*/ 419100 h 486663"/>
            <a:gd name="connsiteX55" fmla="*/ 4038600 w 5267325"/>
            <a:gd name="connsiteY55" fmla="*/ 390525 h 486663"/>
            <a:gd name="connsiteX56" fmla="*/ 4076700 w 5267325"/>
            <a:gd name="connsiteY56" fmla="*/ 352425 h 486663"/>
            <a:gd name="connsiteX57" fmla="*/ 4114800 w 5267325"/>
            <a:gd name="connsiteY57" fmla="*/ 342900 h 486663"/>
            <a:gd name="connsiteX58" fmla="*/ 4476750 w 5267325"/>
            <a:gd name="connsiteY58" fmla="*/ 352425 h 486663"/>
            <a:gd name="connsiteX59" fmla="*/ 4505325 w 5267325"/>
            <a:gd name="connsiteY59" fmla="*/ 371475 h 486663"/>
            <a:gd name="connsiteX60" fmla="*/ 5267325 w 5267325"/>
            <a:gd name="connsiteY60" fmla="*/ 419100 h 486663"/>
            <a:gd name="connsiteX0" fmla="*/ 0 w 4505325"/>
            <a:gd name="connsiteY0" fmla="*/ 0 h 486663"/>
            <a:gd name="connsiteX1" fmla="*/ 66675 w 4505325"/>
            <a:gd name="connsiteY1" fmla="*/ 28575 h 486663"/>
            <a:gd name="connsiteX2" fmla="*/ 209550 w 4505325"/>
            <a:gd name="connsiteY2" fmla="*/ 47625 h 486663"/>
            <a:gd name="connsiteX3" fmla="*/ 304800 w 4505325"/>
            <a:gd name="connsiteY3" fmla="*/ 38100 h 486663"/>
            <a:gd name="connsiteX4" fmla="*/ 342900 w 4505325"/>
            <a:gd name="connsiteY4" fmla="*/ 28575 h 486663"/>
            <a:gd name="connsiteX5" fmla="*/ 409575 w 4505325"/>
            <a:gd name="connsiteY5" fmla="*/ 38100 h 486663"/>
            <a:gd name="connsiteX6" fmla="*/ 438150 w 4505325"/>
            <a:gd name="connsiteY6" fmla="*/ 57150 h 486663"/>
            <a:gd name="connsiteX7" fmla="*/ 495300 w 4505325"/>
            <a:gd name="connsiteY7" fmla="*/ 76200 h 486663"/>
            <a:gd name="connsiteX8" fmla="*/ 542925 w 4505325"/>
            <a:gd name="connsiteY8" fmla="*/ 66675 h 486663"/>
            <a:gd name="connsiteX9" fmla="*/ 600075 w 4505325"/>
            <a:gd name="connsiteY9" fmla="*/ 28575 h 486663"/>
            <a:gd name="connsiteX10" fmla="*/ 704850 w 4505325"/>
            <a:gd name="connsiteY10" fmla="*/ 19050 h 486663"/>
            <a:gd name="connsiteX11" fmla="*/ 790575 w 4505325"/>
            <a:gd name="connsiteY11" fmla="*/ 38100 h 486663"/>
            <a:gd name="connsiteX12" fmla="*/ 819150 w 4505325"/>
            <a:gd name="connsiteY12" fmla="*/ 47625 h 486663"/>
            <a:gd name="connsiteX13" fmla="*/ 904875 w 4505325"/>
            <a:gd name="connsiteY13" fmla="*/ 66675 h 486663"/>
            <a:gd name="connsiteX14" fmla="*/ 1028700 w 4505325"/>
            <a:gd name="connsiteY14" fmla="*/ 28575 h 486663"/>
            <a:gd name="connsiteX15" fmla="*/ 1123950 w 4505325"/>
            <a:gd name="connsiteY15" fmla="*/ 57150 h 486663"/>
            <a:gd name="connsiteX16" fmla="*/ 1143000 w 4505325"/>
            <a:gd name="connsiteY16" fmla="*/ 95250 h 486663"/>
            <a:gd name="connsiteX17" fmla="*/ 1190625 w 4505325"/>
            <a:gd name="connsiteY17" fmla="*/ 133350 h 486663"/>
            <a:gd name="connsiteX18" fmla="*/ 1228725 w 4505325"/>
            <a:gd name="connsiteY18" fmla="*/ 171450 h 486663"/>
            <a:gd name="connsiteX19" fmla="*/ 1257300 w 4505325"/>
            <a:gd name="connsiteY19" fmla="*/ 209550 h 486663"/>
            <a:gd name="connsiteX20" fmla="*/ 1333500 w 4505325"/>
            <a:gd name="connsiteY20" fmla="*/ 219075 h 486663"/>
            <a:gd name="connsiteX21" fmla="*/ 1466850 w 4505325"/>
            <a:gd name="connsiteY21" fmla="*/ 228600 h 486663"/>
            <a:gd name="connsiteX22" fmla="*/ 1590675 w 4505325"/>
            <a:gd name="connsiteY22" fmla="*/ 200025 h 486663"/>
            <a:gd name="connsiteX23" fmla="*/ 1619250 w 4505325"/>
            <a:gd name="connsiteY23" fmla="*/ 190500 h 486663"/>
            <a:gd name="connsiteX24" fmla="*/ 1657350 w 4505325"/>
            <a:gd name="connsiteY24" fmla="*/ 200025 h 486663"/>
            <a:gd name="connsiteX25" fmla="*/ 1743075 w 4505325"/>
            <a:gd name="connsiteY25" fmla="*/ 171450 h 486663"/>
            <a:gd name="connsiteX26" fmla="*/ 1819275 w 4505325"/>
            <a:gd name="connsiteY26" fmla="*/ 123825 h 486663"/>
            <a:gd name="connsiteX27" fmla="*/ 1876425 w 4505325"/>
            <a:gd name="connsiteY27" fmla="*/ 104775 h 486663"/>
            <a:gd name="connsiteX28" fmla="*/ 1924050 w 4505325"/>
            <a:gd name="connsiteY28" fmla="*/ 57150 h 486663"/>
            <a:gd name="connsiteX29" fmla="*/ 1952625 w 4505325"/>
            <a:gd name="connsiteY29" fmla="*/ 66675 h 486663"/>
            <a:gd name="connsiteX30" fmla="*/ 1981200 w 4505325"/>
            <a:gd name="connsiteY30" fmla="*/ 57150 h 486663"/>
            <a:gd name="connsiteX31" fmla="*/ 2095500 w 4505325"/>
            <a:gd name="connsiteY31" fmla="*/ 85725 h 486663"/>
            <a:gd name="connsiteX32" fmla="*/ 2152650 w 4505325"/>
            <a:gd name="connsiteY32" fmla="*/ 95250 h 486663"/>
            <a:gd name="connsiteX33" fmla="*/ 2181225 w 4505325"/>
            <a:gd name="connsiteY33" fmla="*/ 104775 h 486663"/>
            <a:gd name="connsiteX34" fmla="*/ 2333625 w 4505325"/>
            <a:gd name="connsiteY34" fmla="*/ 114300 h 486663"/>
            <a:gd name="connsiteX35" fmla="*/ 2438400 w 4505325"/>
            <a:gd name="connsiteY35" fmla="*/ 152400 h 486663"/>
            <a:gd name="connsiteX36" fmla="*/ 2486025 w 4505325"/>
            <a:gd name="connsiteY36" fmla="*/ 161925 h 486663"/>
            <a:gd name="connsiteX37" fmla="*/ 2543175 w 4505325"/>
            <a:gd name="connsiteY37" fmla="*/ 171450 h 486663"/>
            <a:gd name="connsiteX38" fmla="*/ 2638425 w 4505325"/>
            <a:gd name="connsiteY38" fmla="*/ 180975 h 486663"/>
            <a:gd name="connsiteX39" fmla="*/ 2657475 w 4505325"/>
            <a:gd name="connsiteY39" fmla="*/ 209550 h 486663"/>
            <a:gd name="connsiteX40" fmla="*/ 2714625 w 4505325"/>
            <a:gd name="connsiteY40" fmla="*/ 257175 h 486663"/>
            <a:gd name="connsiteX41" fmla="*/ 2733675 w 4505325"/>
            <a:gd name="connsiteY41" fmla="*/ 285750 h 486663"/>
            <a:gd name="connsiteX42" fmla="*/ 2771775 w 4505325"/>
            <a:gd name="connsiteY42" fmla="*/ 314325 h 486663"/>
            <a:gd name="connsiteX43" fmla="*/ 2857500 w 4505325"/>
            <a:gd name="connsiteY43" fmla="*/ 361950 h 486663"/>
            <a:gd name="connsiteX44" fmla="*/ 2905125 w 4505325"/>
            <a:gd name="connsiteY44" fmla="*/ 381000 h 486663"/>
            <a:gd name="connsiteX45" fmla="*/ 3000375 w 4505325"/>
            <a:gd name="connsiteY45" fmla="*/ 400050 h 486663"/>
            <a:gd name="connsiteX46" fmla="*/ 3028950 w 4505325"/>
            <a:gd name="connsiteY46" fmla="*/ 409575 h 486663"/>
            <a:gd name="connsiteX47" fmla="*/ 3114675 w 4505325"/>
            <a:gd name="connsiteY47" fmla="*/ 428625 h 486663"/>
            <a:gd name="connsiteX48" fmla="*/ 3209925 w 4505325"/>
            <a:gd name="connsiteY48" fmla="*/ 438150 h 486663"/>
            <a:gd name="connsiteX49" fmla="*/ 3362325 w 4505325"/>
            <a:gd name="connsiteY49" fmla="*/ 457200 h 486663"/>
            <a:gd name="connsiteX50" fmla="*/ 3638550 w 4505325"/>
            <a:gd name="connsiteY50" fmla="*/ 476250 h 486663"/>
            <a:gd name="connsiteX51" fmla="*/ 3781425 w 4505325"/>
            <a:gd name="connsiteY51" fmla="*/ 466725 h 486663"/>
            <a:gd name="connsiteX52" fmla="*/ 3848100 w 4505325"/>
            <a:gd name="connsiteY52" fmla="*/ 438150 h 486663"/>
            <a:gd name="connsiteX53" fmla="*/ 3924300 w 4505325"/>
            <a:gd name="connsiteY53" fmla="*/ 428625 h 486663"/>
            <a:gd name="connsiteX54" fmla="*/ 3962400 w 4505325"/>
            <a:gd name="connsiteY54" fmla="*/ 419100 h 486663"/>
            <a:gd name="connsiteX55" fmla="*/ 4038600 w 4505325"/>
            <a:gd name="connsiteY55" fmla="*/ 390525 h 486663"/>
            <a:gd name="connsiteX56" fmla="*/ 4076700 w 4505325"/>
            <a:gd name="connsiteY56" fmla="*/ 352425 h 486663"/>
            <a:gd name="connsiteX57" fmla="*/ 4114800 w 4505325"/>
            <a:gd name="connsiteY57" fmla="*/ 342900 h 486663"/>
            <a:gd name="connsiteX58" fmla="*/ 4476750 w 4505325"/>
            <a:gd name="connsiteY58" fmla="*/ 352425 h 486663"/>
            <a:gd name="connsiteX59" fmla="*/ 4505325 w 4505325"/>
            <a:gd name="connsiteY59" fmla="*/ 37147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600075 w 4476750"/>
            <a:gd name="connsiteY9" fmla="*/ 28575 h 486663"/>
            <a:gd name="connsiteX10" fmla="*/ 704850 w 4476750"/>
            <a:gd name="connsiteY10" fmla="*/ 19050 h 486663"/>
            <a:gd name="connsiteX11" fmla="*/ 790575 w 4476750"/>
            <a:gd name="connsiteY11" fmla="*/ 38100 h 486663"/>
            <a:gd name="connsiteX12" fmla="*/ 819150 w 4476750"/>
            <a:gd name="connsiteY12" fmla="*/ 47625 h 486663"/>
            <a:gd name="connsiteX13" fmla="*/ 904875 w 4476750"/>
            <a:gd name="connsiteY13" fmla="*/ 66675 h 486663"/>
            <a:gd name="connsiteX14" fmla="*/ 1028700 w 4476750"/>
            <a:gd name="connsiteY14" fmla="*/ 28575 h 486663"/>
            <a:gd name="connsiteX15" fmla="*/ 1123950 w 4476750"/>
            <a:gd name="connsiteY15" fmla="*/ 57150 h 486663"/>
            <a:gd name="connsiteX16" fmla="*/ 1143000 w 4476750"/>
            <a:gd name="connsiteY16" fmla="*/ 95250 h 486663"/>
            <a:gd name="connsiteX17" fmla="*/ 1190625 w 4476750"/>
            <a:gd name="connsiteY17" fmla="*/ 133350 h 486663"/>
            <a:gd name="connsiteX18" fmla="*/ 1228725 w 4476750"/>
            <a:gd name="connsiteY18" fmla="*/ 171450 h 486663"/>
            <a:gd name="connsiteX19" fmla="*/ 1257300 w 4476750"/>
            <a:gd name="connsiteY19" fmla="*/ 209550 h 486663"/>
            <a:gd name="connsiteX20" fmla="*/ 1333500 w 4476750"/>
            <a:gd name="connsiteY20" fmla="*/ 219075 h 486663"/>
            <a:gd name="connsiteX21" fmla="*/ 1466850 w 4476750"/>
            <a:gd name="connsiteY21" fmla="*/ 228600 h 486663"/>
            <a:gd name="connsiteX22" fmla="*/ 1590675 w 4476750"/>
            <a:gd name="connsiteY22" fmla="*/ 200025 h 486663"/>
            <a:gd name="connsiteX23" fmla="*/ 1619250 w 4476750"/>
            <a:gd name="connsiteY23" fmla="*/ 190500 h 486663"/>
            <a:gd name="connsiteX24" fmla="*/ 1657350 w 4476750"/>
            <a:gd name="connsiteY24" fmla="*/ 200025 h 486663"/>
            <a:gd name="connsiteX25" fmla="*/ 1743075 w 4476750"/>
            <a:gd name="connsiteY25" fmla="*/ 171450 h 486663"/>
            <a:gd name="connsiteX26" fmla="*/ 1819275 w 4476750"/>
            <a:gd name="connsiteY26" fmla="*/ 123825 h 486663"/>
            <a:gd name="connsiteX27" fmla="*/ 1876425 w 4476750"/>
            <a:gd name="connsiteY27" fmla="*/ 104775 h 486663"/>
            <a:gd name="connsiteX28" fmla="*/ 1924050 w 4476750"/>
            <a:gd name="connsiteY28" fmla="*/ 57150 h 486663"/>
            <a:gd name="connsiteX29" fmla="*/ 1952625 w 4476750"/>
            <a:gd name="connsiteY29" fmla="*/ 66675 h 486663"/>
            <a:gd name="connsiteX30" fmla="*/ 1981200 w 4476750"/>
            <a:gd name="connsiteY30" fmla="*/ 57150 h 486663"/>
            <a:gd name="connsiteX31" fmla="*/ 2095500 w 4476750"/>
            <a:gd name="connsiteY31" fmla="*/ 85725 h 486663"/>
            <a:gd name="connsiteX32" fmla="*/ 2152650 w 4476750"/>
            <a:gd name="connsiteY32" fmla="*/ 95250 h 486663"/>
            <a:gd name="connsiteX33" fmla="*/ 2181225 w 4476750"/>
            <a:gd name="connsiteY33" fmla="*/ 104775 h 486663"/>
            <a:gd name="connsiteX34" fmla="*/ 2333625 w 4476750"/>
            <a:gd name="connsiteY34" fmla="*/ 114300 h 486663"/>
            <a:gd name="connsiteX35" fmla="*/ 2438400 w 4476750"/>
            <a:gd name="connsiteY35" fmla="*/ 152400 h 486663"/>
            <a:gd name="connsiteX36" fmla="*/ 2486025 w 4476750"/>
            <a:gd name="connsiteY36" fmla="*/ 161925 h 486663"/>
            <a:gd name="connsiteX37" fmla="*/ 2543175 w 4476750"/>
            <a:gd name="connsiteY37" fmla="*/ 171450 h 486663"/>
            <a:gd name="connsiteX38" fmla="*/ 2638425 w 4476750"/>
            <a:gd name="connsiteY38" fmla="*/ 180975 h 486663"/>
            <a:gd name="connsiteX39" fmla="*/ 2657475 w 4476750"/>
            <a:gd name="connsiteY39" fmla="*/ 209550 h 486663"/>
            <a:gd name="connsiteX40" fmla="*/ 2714625 w 4476750"/>
            <a:gd name="connsiteY40" fmla="*/ 257175 h 486663"/>
            <a:gd name="connsiteX41" fmla="*/ 2733675 w 4476750"/>
            <a:gd name="connsiteY41" fmla="*/ 285750 h 486663"/>
            <a:gd name="connsiteX42" fmla="*/ 2771775 w 4476750"/>
            <a:gd name="connsiteY42" fmla="*/ 314325 h 486663"/>
            <a:gd name="connsiteX43" fmla="*/ 2857500 w 4476750"/>
            <a:gd name="connsiteY43" fmla="*/ 361950 h 486663"/>
            <a:gd name="connsiteX44" fmla="*/ 2905125 w 4476750"/>
            <a:gd name="connsiteY44" fmla="*/ 381000 h 486663"/>
            <a:gd name="connsiteX45" fmla="*/ 3000375 w 4476750"/>
            <a:gd name="connsiteY45" fmla="*/ 400050 h 486663"/>
            <a:gd name="connsiteX46" fmla="*/ 3028950 w 4476750"/>
            <a:gd name="connsiteY46" fmla="*/ 409575 h 486663"/>
            <a:gd name="connsiteX47" fmla="*/ 3114675 w 4476750"/>
            <a:gd name="connsiteY47" fmla="*/ 428625 h 486663"/>
            <a:gd name="connsiteX48" fmla="*/ 3209925 w 4476750"/>
            <a:gd name="connsiteY48" fmla="*/ 438150 h 486663"/>
            <a:gd name="connsiteX49" fmla="*/ 3362325 w 4476750"/>
            <a:gd name="connsiteY49" fmla="*/ 457200 h 486663"/>
            <a:gd name="connsiteX50" fmla="*/ 3638550 w 4476750"/>
            <a:gd name="connsiteY50" fmla="*/ 476250 h 486663"/>
            <a:gd name="connsiteX51" fmla="*/ 3781425 w 4476750"/>
            <a:gd name="connsiteY51" fmla="*/ 466725 h 486663"/>
            <a:gd name="connsiteX52" fmla="*/ 3848100 w 4476750"/>
            <a:gd name="connsiteY52" fmla="*/ 438150 h 486663"/>
            <a:gd name="connsiteX53" fmla="*/ 3924300 w 4476750"/>
            <a:gd name="connsiteY53" fmla="*/ 428625 h 486663"/>
            <a:gd name="connsiteX54" fmla="*/ 3962400 w 4476750"/>
            <a:gd name="connsiteY54" fmla="*/ 419100 h 486663"/>
            <a:gd name="connsiteX55" fmla="*/ 4038600 w 4476750"/>
            <a:gd name="connsiteY55" fmla="*/ 390525 h 486663"/>
            <a:gd name="connsiteX56" fmla="*/ 4076700 w 4476750"/>
            <a:gd name="connsiteY56" fmla="*/ 352425 h 486663"/>
            <a:gd name="connsiteX57" fmla="*/ 4114800 w 4476750"/>
            <a:gd name="connsiteY57" fmla="*/ 342900 h 486663"/>
            <a:gd name="connsiteX58" fmla="*/ 4476750 w 4476750"/>
            <a:gd name="connsiteY58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704850 w 4476750"/>
            <a:gd name="connsiteY9" fmla="*/ 19050 h 486663"/>
            <a:gd name="connsiteX10" fmla="*/ 790575 w 4476750"/>
            <a:gd name="connsiteY10" fmla="*/ 38100 h 486663"/>
            <a:gd name="connsiteX11" fmla="*/ 819150 w 4476750"/>
            <a:gd name="connsiteY11" fmla="*/ 47625 h 486663"/>
            <a:gd name="connsiteX12" fmla="*/ 904875 w 4476750"/>
            <a:gd name="connsiteY12" fmla="*/ 66675 h 486663"/>
            <a:gd name="connsiteX13" fmla="*/ 1028700 w 4476750"/>
            <a:gd name="connsiteY13" fmla="*/ 28575 h 486663"/>
            <a:gd name="connsiteX14" fmla="*/ 1123950 w 4476750"/>
            <a:gd name="connsiteY14" fmla="*/ 57150 h 486663"/>
            <a:gd name="connsiteX15" fmla="*/ 1143000 w 4476750"/>
            <a:gd name="connsiteY15" fmla="*/ 95250 h 486663"/>
            <a:gd name="connsiteX16" fmla="*/ 1190625 w 4476750"/>
            <a:gd name="connsiteY16" fmla="*/ 133350 h 486663"/>
            <a:gd name="connsiteX17" fmla="*/ 1228725 w 4476750"/>
            <a:gd name="connsiteY17" fmla="*/ 171450 h 486663"/>
            <a:gd name="connsiteX18" fmla="*/ 1257300 w 4476750"/>
            <a:gd name="connsiteY18" fmla="*/ 209550 h 486663"/>
            <a:gd name="connsiteX19" fmla="*/ 1333500 w 4476750"/>
            <a:gd name="connsiteY19" fmla="*/ 219075 h 486663"/>
            <a:gd name="connsiteX20" fmla="*/ 1466850 w 4476750"/>
            <a:gd name="connsiteY20" fmla="*/ 228600 h 486663"/>
            <a:gd name="connsiteX21" fmla="*/ 1590675 w 4476750"/>
            <a:gd name="connsiteY21" fmla="*/ 200025 h 486663"/>
            <a:gd name="connsiteX22" fmla="*/ 1619250 w 4476750"/>
            <a:gd name="connsiteY22" fmla="*/ 190500 h 486663"/>
            <a:gd name="connsiteX23" fmla="*/ 1657350 w 4476750"/>
            <a:gd name="connsiteY23" fmla="*/ 200025 h 486663"/>
            <a:gd name="connsiteX24" fmla="*/ 1743075 w 4476750"/>
            <a:gd name="connsiteY24" fmla="*/ 171450 h 486663"/>
            <a:gd name="connsiteX25" fmla="*/ 1819275 w 4476750"/>
            <a:gd name="connsiteY25" fmla="*/ 123825 h 486663"/>
            <a:gd name="connsiteX26" fmla="*/ 1876425 w 4476750"/>
            <a:gd name="connsiteY26" fmla="*/ 104775 h 486663"/>
            <a:gd name="connsiteX27" fmla="*/ 1924050 w 4476750"/>
            <a:gd name="connsiteY27" fmla="*/ 57150 h 486663"/>
            <a:gd name="connsiteX28" fmla="*/ 1952625 w 4476750"/>
            <a:gd name="connsiteY28" fmla="*/ 66675 h 486663"/>
            <a:gd name="connsiteX29" fmla="*/ 1981200 w 4476750"/>
            <a:gd name="connsiteY29" fmla="*/ 57150 h 486663"/>
            <a:gd name="connsiteX30" fmla="*/ 2095500 w 4476750"/>
            <a:gd name="connsiteY30" fmla="*/ 85725 h 486663"/>
            <a:gd name="connsiteX31" fmla="*/ 2152650 w 4476750"/>
            <a:gd name="connsiteY31" fmla="*/ 95250 h 486663"/>
            <a:gd name="connsiteX32" fmla="*/ 2181225 w 4476750"/>
            <a:gd name="connsiteY32" fmla="*/ 104775 h 486663"/>
            <a:gd name="connsiteX33" fmla="*/ 2333625 w 4476750"/>
            <a:gd name="connsiteY33" fmla="*/ 114300 h 486663"/>
            <a:gd name="connsiteX34" fmla="*/ 2438400 w 4476750"/>
            <a:gd name="connsiteY34" fmla="*/ 152400 h 486663"/>
            <a:gd name="connsiteX35" fmla="*/ 2486025 w 4476750"/>
            <a:gd name="connsiteY35" fmla="*/ 161925 h 486663"/>
            <a:gd name="connsiteX36" fmla="*/ 2543175 w 4476750"/>
            <a:gd name="connsiteY36" fmla="*/ 171450 h 486663"/>
            <a:gd name="connsiteX37" fmla="*/ 2638425 w 4476750"/>
            <a:gd name="connsiteY37" fmla="*/ 180975 h 486663"/>
            <a:gd name="connsiteX38" fmla="*/ 2657475 w 4476750"/>
            <a:gd name="connsiteY38" fmla="*/ 209550 h 486663"/>
            <a:gd name="connsiteX39" fmla="*/ 2714625 w 4476750"/>
            <a:gd name="connsiteY39" fmla="*/ 257175 h 486663"/>
            <a:gd name="connsiteX40" fmla="*/ 2733675 w 4476750"/>
            <a:gd name="connsiteY40" fmla="*/ 285750 h 486663"/>
            <a:gd name="connsiteX41" fmla="*/ 2771775 w 4476750"/>
            <a:gd name="connsiteY41" fmla="*/ 314325 h 486663"/>
            <a:gd name="connsiteX42" fmla="*/ 2857500 w 4476750"/>
            <a:gd name="connsiteY42" fmla="*/ 361950 h 486663"/>
            <a:gd name="connsiteX43" fmla="*/ 2905125 w 4476750"/>
            <a:gd name="connsiteY43" fmla="*/ 381000 h 486663"/>
            <a:gd name="connsiteX44" fmla="*/ 3000375 w 4476750"/>
            <a:gd name="connsiteY44" fmla="*/ 400050 h 486663"/>
            <a:gd name="connsiteX45" fmla="*/ 3028950 w 4476750"/>
            <a:gd name="connsiteY45" fmla="*/ 409575 h 486663"/>
            <a:gd name="connsiteX46" fmla="*/ 3114675 w 4476750"/>
            <a:gd name="connsiteY46" fmla="*/ 428625 h 486663"/>
            <a:gd name="connsiteX47" fmla="*/ 3209925 w 4476750"/>
            <a:gd name="connsiteY47" fmla="*/ 438150 h 486663"/>
            <a:gd name="connsiteX48" fmla="*/ 3362325 w 4476750"/>
            <a:gd name="connsiteY48" fmla="*/ 457200 h 486663"/>
            <a:gd name="connsiteX49" fmla="*/ 3638550 w 4476750"/>
            <a:gd name="connsiteY49" fmla="*/ 476250 h 486663"/>
            <a:gd name="connsiteX50" fmla="*/ 3781425 w 4476750"/>
            <a:gd name="connsiteY50" fmla="*/ 466725 h 486663"/>
            <a:gd name="connsiteX51" fmla="*/ 3848100 w 4476750"/>
            <a:gd name="connsiteY51" fmla="*/ 438150 h 486663"/>
            <a:gd name="connsiteX52" fmla="*/ 3924300 w 4476750"/>
            <a:gd name="connsiteY52" fmla="*/ 428625 h 486663"/>
            <a:gd name="connsiteX53" fmla="*/ 3962400 w 4476750"/>
            <a:gd name="connsiteY53" fmla="*/ 419100 h 486663"/>
            <a:gd name="connsiteX54" fmla="*/ 4038600 w 4476750"/>
            <a:gd name="connsiteY54" fmla="*/ 390525 h 486663"/>
            <a:gd name="connsiteX55" fmla="*/ 4076700 w 4476750"/>
            <a:gd name="connsiteY55" fmla="*/ 352425 h 486663"/>
            <a:gd name="connsiteX56" fmla="*/ 4114800 w 4476750"/>
            <a:gd name="connsiteY56" fmla="*/ 342900 h 486663"/>
            <a:gd name="connsiteX57" fmla="*/ 4476750 w 4476750"/>
            <a:gd name="connsiteY57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704850 w 4476750"/>
            <a:gd name="connsiteY8" fmla="*/ 19050 h 486663"/>
            <a:gd name="connsiteX9" fmla="*/ 790575 w 4476750"/>
            <a:gd name="connsiteY9" fmla="*/ 38100 h 486663"/>
            <a:gd name="connsiteX10" fmla="*/ 819150 w 4476750"/>
            <a:gd name="connsiteY10" fmla="*/ 47625 h 486663"/>
            <a:gd name="connsiteX11" fmla="*/ 904875 w 4476750"/>
            <a:gd name="connsiteY11" fmla="*/ 66675 h 486663"/>
            <a:gd name="connsiteX12" fmla="*/ 1028700 w 4476750"/>
            <a:gd name="connsiteY12" fmla="*/ 28575 h 486663"/>
            <a:gd name="connsiteX13" fmla="*/ 1123950 w 4476750"/>
            <a:gd name="connsiteY13" fmla="*/ 57150 h 486663"/>
            <a:gd name="connsiteX14" fmla="*/ 1143000 w 4476750"/>
            <a:gd name="connsiteY14" fmla="*/ 95250 h 486663"/>
            <a:gd name="connsiteX15" fmla="*/ 1190625 w 4476750"/>
            <a:gd name="connsiteY15" fmla="*/ 133350 h 486663"/>
            <a:gd name="connsiteX16" fmla="*/ 1228725 w 4476750"/>
            <a:gd name="connsiteY16" fmla="*/ 171450 h 486663"/>
            <a:gd name="connsiteX17" fmla="*/ 1257300 w 4476750"/>
            <a:gd name="connsiteY17" fmla="*/ 209550 h 486663"/>
            <a:gd name="connsiteX18" fmla="*/ 1333500 w 4476750"/>
            <a:gd name="connsiteY18" fmla="*/ 219075 h 486663"/>
            <a:gd name="connsiteX19" fmla="*/ 1466850 w 4476750"/>
            <a:gd name="connsiteY19" fmla="*/ 228600 h 486663"/>
            <a:gd name="connsiteX20" fmla="*/ 1590675 w 4476750"/>
            <a:gd name="connsiteY20" fmla="*/ 200025 h 486663"/>
            <a:gd name="connsiteX21" fmla="*/ 1619250 w 4476750"/>
            <a:gd name="connsiteY21" fmla="*/ 190500 h 486663"/>
            <a:gd name="connsiteX22" fmla="*/ 1657350 w 4476750"/>
            <a:gd name="connsiteY22" fmla="*/ 200025 h 486663"/>
            <a:gd name="connsiteX23" fmla="*/ 1743075 w 4476750"/>
            <a:gd name="connsiteY23" fmla="*/ 171450 h 486663"/>
            <a:gd name="connsiteX24" fmla="*/ 1819275 w 4476750"/>
            <a:gd name="connsiteY24" fmla="*/ 123825 h 486663"/>
            <a:gd name="connsiteX25" fmla="*/ 1876425 w 4476750"/>
            <a:gd name="connsiteY25" fmla="*/ 104775 h 486663"/>
            <a:gd name="connsiteX26" fmla="*/ 1924050 w 4476750"/>
            <a:gd name="connsiteY26" fmla="*/ 57150 h 486663"/>
            <a:gd name="connsiteX27" fmla="*/ 1952625 w 4476750"/>
            <a:gd name="connsiteY27" fmla="*/ 66675 h 486663"/>
            <a:gd name="connsiteX28" fmla="*/ 1981200 w 4476750"/>
            <a:gd name="connsiteY28" fmla="*/ 57150 h 486663"/>
            <a:gd name="connsiteX29" fmla="*/ 2095500 w 4476750"/>
            <a:gd name="connsiteY29" fmla="*/ 85725 h 486663"/>
            <a:gd name="connsiteX30" fmla="*/ 2152650 w 4476750"/>
            <a:gd name="connsiteY30" fmla="*/ 95250 h 486663"/>
            <a:gd name="connsiteX31" fmla="*/ 2181225 w 4476750"/>
            <a:gd name="connsiteY31" fmla="*/ 104775 h 486663"/>
            <a:gd name="connsiteX32" fmla="*/ 2333625 w 4476750"/>
            <a:gd name="connsiteY32" fmla="*/ 114300 h 486663"/>
            <a:gd name="connsiteX33" fmla="*/ 2438400 w 4476750"/>
            <a:gd name="connsiteY33" fmla="*/ 152400 h 486663"/>
            <a:gd name="connsiteX34" fmla="*/ 2486025 w 4476750"/>
            <a:gd name="connsiteY34" fmla="*/ 161925 h 486663"/>
            <a:gd name="connsiteX35" fmla="*/ 2543175 w 4476750"/>
            <a:gd name="connsiteY35" fmla="*/ 171450 h 486663"/>
            <a:gd name="connsiteX36" fmla="*/ 2638425 w 4476750"/>
            <a:gd name="connsiteY36" fmla="*/ 180975 h 486663"/>
            <a:gd name="connsiteX37" fmla="*/ 2657475 w 4476750"/>
            <a:gd name="connsiteY37" fmla="*/ 209550 h 486663"/>
            <a:gd name="connsiteX38" fmla="*/ 2714625 w 4476750"/>
            <a:gd name="connsiteY38" fmla="*/ 257175 h 486663"/>
            <a:gd name="connsiteX39" fmla="*/ 2733675 w 4476750"/>
            <a:gd name="connsiteY39" fmla="*/ 285750 h 486663"/>
            <a:gd name="connsiteX40" fmla="*/ 2771775 w 4476750"/>
            <a:gd name="connsiteY40" fmla="*/ 314325 h 486663"/>
            <a:gd name="connsiteX41" fmla="*/ 2857500 w 4476750"/>
            <a:gd name="connsiteY41" fmla="*/ 361950 h 486663"/>
            <a:gd name="connsiteX42" fmla="*/ 2905125 w 4476750"/>
            <a:gd name="connsiteY42" fmla="*/ 381000 h 486663"/>
            <a:gd name="connsiteX43" fmla="*/ 3000375 w 4476750"/>
            <a:gd name="connsiteY43" fmla="*/ 400050 h 486663"/>
            <a:gd name="connsiteX44" fmla="*/ 3028950 w 4476750"/>
            <a:gd name="connsiteY44" fmla="*/ 409575 h 486663"/>
            <a:gd name="connsiteX45" fmla="*/ 3114675 w 4476750"/>
            <a:gd name="connsiteY45" fmla="*/ 428625 h 486663"/>
            <a:gd name="connsiteX46" fmla="*/ 3209925 w 4476750"/>
            <a:gd name="connsiteY46" fmla="*/ 438150 h 486663"/>
            <a:gd name="connsiteX47" fmla="*/ 3362325 w 4476750"/>
            <a:gd name="connsiteY47" fmla="*/ 457200 h 486663"/>
            <a:gd name="connsiteX48" fmla="*/ 3638550 w 4476750"/>
            <a:gd name="connsiteY48" fmla="*/ 476250 h 486663"/>
            <a:gd name="connsiteX49" fmla="*/ 3781425 w 4476750"/>
            <a:gd name="connsiteY49" fmla="*/ 466725 h 486663"/>
            <a:gd name="connsiteX50" fmla="*/ 3848100 w 4476750"/>
            <a:gd name="connsiteY50" fmla="*/ 438150 h 486663"/>
            <a:gd name="connsiteX51" fmla="*/ 3924300 w 4476750"/>
            <a:gd name="connsiteY51" fmla="*/ 428625 h 486663"/>
            <a:gd name="connsiteX52" fmla="*/ 3962400 w 4476750"/>
            <a:gd name="connsiteY52" fmla="*/ 419100 h 486663"/>
            <a:gd name="connsiteX53" fmla="*/ 4038600 w 4476750"/>
            <a:gd name="connsiteY53" fmla="*/ 390525 h 486663"/>
            <a:gd name="connsiteX54" fmla="*/ 4076700 w 4476750"/>
            <a:gd name="connsiteY54" fmla="*/ 352425 h 486663"/>
            <a:gd name="connsiteX55" fmla="*/ 4114800 w 4476750"/>
            <a:gd name="connsiteY55" fmla="*/ 342900 h 486663"/>
            <a:gd name="connsiteX56" fmla="*/ 4476750 w 4476750"/>
            <a:gd name="connsiteY56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704850 w 4476750"/>
            <a:gd name="connsiteY7" fmla="*/ 19050 h 486663"/>
            <a:gd name="connsiteX8" fmla="*/ 790575 w 4476750"/>
            <a:gd name="connsiteY8" fmla="*/ 38100 h 486663"/>
            <a:gd name="connsiteX9" fmla="*/ 819150 w 4476750"/>
            <a:gd name="connsiteY9" fmla="*/ 47625 h 486663"/>
            <a:gd name="connsiteX10" fmla="*/ 904875 w 4476750"/>
            <a:gd name="connsiteY10" fmla="*/ 66675 h 486663"/>
            <a:gd name="connsiteX11" fmla="*/ 1028700 w 4476750"/>
            <a:gd name="connsiteY11" fmla="*/ 28575 h 486663"/>
            <a:gd name="connsiteX12" fmla="*/ 1123950 w 4476750"/>
            <a:gd name="connsiteY12" fmla="*/ 57150 h 486663"/>
            <a:gd name="connsiteX13" fmla="*/ 1143000 w 4476750"/>
            <a:gd name="connsiteY13" fmla="*/ 95250 h 486663"/>
            <a:gd name="connsiteX14" fmla="*/ 1190625 w 4476750"/>
            <a:gd name="connsiteY14" fmla="*/ 133350 h 486663"/>
            <a:gd name="connsiteX15" fmla="*/ 1228725 w 4476750"/>
            <a:gd name="connsiteY15" fmla="*/ 171450 h 486663"/>
            <a:gd name="connsiteX16" fmla="*/ 1257300 w 4476750"/>
            <a:gd name="connsiteY16" fmla="*/ 209550 h 486663"/>
            <a:gd name="connsiteX17" fmla="*/ 1333500 w 4476750"/>
            <a:gd name="connsiteY17" fmla="*/ 219075 h 486663"/>
            <a:gd name="connsiteX18" fmla="*/ 1466850 w 4476750"/>
            <a:gd name="connsiteY18" fmla="*/ 228600 h 486663"/>
            <a:gd name="connsiteX19" fmla="*/ 1590675 w 4476750"/>
            <a:gd name="connsiteY19" fmla="*/ 200025 h 486663"/>
            <a:gd name="connsiteX20" fmla="*/ 1619250 w 4476750"/>
            <a:gd name="connsiteY20" fmla="*/ 190500 h 486663"/>
            <a:gd name="connsiteX21" fmla="*/ 1657350 w 4476750"/>
            <a:gd name="connsiteY21" fmla="*/ 200025 h 486663"/>
            <a:gd name="connsiteX22" fmla="*/ 1743075 w 4476750"/>
            <a:gd name="connsiteY22" fmla="*/ 171450 h 486663"/>
            <a:gd name="connsiteX23" fmla="*/ 1819275 w 4476750"/>
            <a:gd name="connsiteY23" fmla="*/ 123825 h 486663"/>
            <a:gd name="connsiteX24" fmla="*/ 1876425 w 4476750"/>
            <a:gd name="connsiteY24" fmla="*/ 104775 h 486663"/>
            <a:gd name="connsiteX25" fmla="*/ 1924050 w 4476750"/>
            <a:gd name="connsiteY25" fmla="*/ 57150 h 486663"/>
            <a:gd name="connsiteX26" fmla="*/ 1952625 w 4476750"/>
            <a:gd name="connsiteY26" fmla="*/ 66675 h 486663"/>
            <a:gd name="connsiteX27" fmla="*/ 1981200 w 4476750"/>
            <a:gd name="connsiteY27" fmla="*/ 57150 h 486663"/>
            <a:gd name="connsiteX28" fmla="*/ 2095500 w 4476750"/>
            <a:gd name="connsiteY28" fmla="*/ 85725 h 486663"/>
            <a:gd name="connsiteX29" fmla="*/ 2152650 w 4476750"/>
            <a:gd name="connsiteY29" fmla="*/ 95250 h 486663"/>
            <a:gd name="connsiteX30" fmla="*/ 2181225 w 4476750"/>
            <a:gd name="connsiteY30" fmla="*/ 104775 h 486663"/>
            <a:gd name="connsiteX31" fmla="*/ 2333625 w 4476750"/>
            <a:gd name="connsiteY31" fmla="*/ 114300 h 486663"/>
            <a:gd name="connsiteX32" fmla="*/ 2438400 w 4476750"/>
            <a:gd name="connsiteY32" fmla="*/ 152400 h 486663"/>
            <a:gd name="connsiteX33" fmla="*/ 2486025 w 4476750"/>
            <a:gd name="connsiteY33" fmla="*/ 161925 h 486663"/>
            <a:gd name="connsiteX34" fmla="*/ 2543175 w 4476750"/>
            <a:gd name="connsiteY34" fmla="*/ 171450 h 486663"/>
            <a:gd name="connsiteX35" fmla="*/ 2638425 w 4476750"/>
            <a:gd name="connsiteY35" fmla="*/ 180975 h 486663"/>
            <a:gd name="connsiteX36" fmla="*/ 2657475 w 4476750"/>
            <a:gd name="connsiteY36" fmla="*/ 209550 h 486663"/>
            <a:gd name="connsiteX37" fmla="*/ 2714625 w 4476750"/>
            <a:gd name="connsiteY37" fmla="*/ 257175 h 486663"/>
            <a:gd name="connsiteX38" fmla="*/ 2733675 w 4476750"/>
            <a:gd name="connsiteY38" fmla="*/ 285750 h 486663"/>
            <a:gd name="connsiteX39" fmla="*/ 2771775 w 4476750"/>
            <a:gd name="connsiteY39" fmla="*/ 314325 h 486663"/>
            <a:gd name="connsiteX40" fmla="*/ 2857500 w 4476750"/>
            <a:gd name="connsiteY40" fmla="*/ 361950 h 486663"/>
            <a:gd name="connsiteX41" fmla="*/ 2905125 w 4476750"/>
            <a:gd name="connsiteY41" fmla="*/ 381000 h 486663"/>
            <a:gd name="connsiteX42" fmla="*/ 3000375 w 4476750"/>
            <a:gd name="connsiteY42" fmla="*/ 400050 h 486663"/>
            <a:gd name="connsiteX43" fmla="*/ 3028950 w 4476750"/>
            <a:gd name="connsiteY43" fmla="*/ 409575 h 486663"/>
            <a:gd name="connsiteX44" fmla="*/ 3114675 w 4476750"/>
            <a:gd name="connsiteY44" fmla="*/ 428625 h 486663"/>
            <a:gd name="connsiteX45" fmla="*/ 3209925 w 4476750"/>
            <a:gd name="connsiteY45" fmla="*/ 438150 h 486663"/>
            <a:gd name="connsiteX46" fmla="*/ 3362325 w 4476750"/>
            <a:gd name="connsiteY46" fmla="*/ 457200 h 486663"/>
            <a:gd name="connsiteX47" fmla="*/ 3638550 w 4476750"/>
            <a:gd name="connsiteY47" fmla="*/ 476250 h 486663"/>
            <a:gd name="connsiteX48" fmla="*/ 3781425 w 4476750"/>
            <a:gd name="connsiteY48" fmla="*/ 466725 h 486663"/>
            <a:gd name="connsiteX49" fmla="*/ 3848100 w 4476750"/>
            <a:gd name="connsiteY49" fmla="*/ 438150 h 486663"/>
            <a:gd name="connsiteX50" fmla="*/ 3924300 w 4476750"/>
            <a:gd name="connsiteY50" fmla="*/ 428625 h 486663"/>
            <a:gd name="connsiteX51" fmla="*/ 3962400 w 4476750"/>
            <a:gd name="connsiteY51" fmla="*/ 419100 h 486663"/>
            <a:gd name="connsiteX52" fmla="*/ 4038600 w 4476750"/>
            <a:gd name="connsiteY52" fmla="*/ 390525 h 486663"/>
            <a:gd name="connsiteX53" fmla="*/ 4076700 w 4476750"/>
            <a:gd name="connsiteY53" fmla="*/ 352425 h 486663"/>
            <a:gd name="connsiteX54" fmla="*/ 4114800 w 4476750"/>
            <a:gd name="connsiteY54" fmla="*/ 342900 h 486663"/>
            <a:gd name="connsiteX55" fmla="*/ 4476750 w 4476750"/>
            <a:gd name="connsiteY55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704850 w 4476750"/>
            <a:gd name="connsiteY6" fmla="*/ 19050 h 486663"/>
            <a:gd name="connsiteX7" fmla="*/ 790575 w 4476750"/>
            <a:gd name="connsiteY7" fmla="*/ 38100 h 486663"/>
            <a:gd name="connsiteX8" fmla="*/ 819150 w 4476750"/>
            <a:gd name="connsiteY8" fmla="*/ 47625 h 486663"/>
            <a:gd name="connsiteX9" fmla="*/ 904875 w 4476750"/>
            <a:gd name="connsiteY9" fmla="*/ 66675 h 486663"/>
            <a:gd name="connsiteX10" fmla="*/ 1028700 w 4476750"/>
            <a:gd name="connsiteY10" fmla="*/ 28575 h 486663"/>
            <a:gd name="connsiteX11" fmla="*/ 1123950 w 4476750"/>
            <a:gd name="connsiteY11" fmla="*/ 57150 h 486663"/>
            <a:gd name="connsiteX12" fmla="*/ 1143000 w 4476750"/>
            <a:gd name="connsiteY12" fmla="*/ 95250 h 486663"/>
            <a:gd name="connsiteX13" fmla="*/ 1190625 w 4476750"/>
            <a:gd name="connsiteY13" fmla="*/ 133350 h 486663"/>
            <a:gd name="connsiteX14" fmla="*/ 1228725 w 4476750"/>
            <a:gd name="connsiteY14" fmla="*/ 171450 h 486663"/>
            <a:gd name="connsiteX15" fmla="*/ 1257300 w 4476750"/>
            <a:gd name="connsiteY15" fmla="*/ 209550 h 486663"/>
            <a:gd name="connsiteX16" fmla="*/ 1333500 w 4476750"/>
            <a:gd name="connsiteY16" fmla="*/ 219075 h 486663"/>
            <a:gd name="connsiteX17" fmla="*/ 1466850 w 4476750"/>
            <a:gd name="connsiteY17" fmla="*/ 228600 h 486663"/>
            <a:gd name="connsiteX18" fmla="*/ 1590675 w 4476750"/>
            <a:gd name="connsiteY18" fmla="*/ 200025 h 486663"/>
            <a:gd name="connsiteX19" fmla="*/ 1619250 w 4476750"/>
            <a:gd name="connsiteY19" fmla="*/ 190500 h 486663"/>
            <a:gd name="connsiteX20" fmla="*/ 1657350 w 4476750"/>
            <a:gd name="connsiteY20" fmla="*/ 200025 h 486663"/>
            <a:gd name="connsiteX21" fmla="*/ 1743075 w 4476750"/>
            <a:gd name="connsiteY21" fmla="*/ 171450 h 486663"/>
            <a:gd name="connsiteX22" fmla="*/ 1819275 w 4476750"/>
            <a:gd name="connsiteY22" fmla="*/ 123825 h 486663"/>
            <a:gd name="connsiteX23" fmla="*/ 1876425 w 4476750"/>
            <a:gd name="connsiteY23" fmla="*/ 104775 h 486663"/>
            <a:gd name="connsiteX24" fmla="*/ 1924050 w 4476750"/>
            <a:gd name="connsiteY24" fmla="*/ 57150 h 486663"/>
            <a:gd name="connsiteX25" fmla="*/ 1952625 w 4476750"/>
            <a:gd name="connsiteY25" fmla="*/ 66675 h 486663"/>
            <a:gd name="connsiteX26" fmla="*/ 1981200 w 4476750"/>
            <a:gd name="connsiteY26" fmla="*/ 57150 h 486663"/>
            <a:gd name="connsiteX27" fmla="*/ 2095500 w 4476750"/>
            <a:gd name="connsiteY27" fmla="*/ 85725 h 486663"/>
            <a:gd name="connsiteX28" fmla="*/ 2152650 w 4476750"/>
            <a:gd name="connsiteY28" fmla="*/ 95250 h 486663"/>
            <a:gd name="connsiteX29" fmla="*/ 2181225 w 4476750"/>
            <a:gd name="connsiteY29" fmla="*/ 104775 h 486663"/>
            <a:gd name="connsiteX30" fmla="*/ 2333625 w 4476750"/>
            <a:gd name="connsiteY30" fmla="*/ 114300 h 486663"/>
            <a:gd name="connsiteX31" fmla="*/ 2438400 w 4476750"/>
            <a:gd name="connsiteY31" fmla="*/ 152400 h 486663"/>
            <a:gd name="connsiteX32" fmla="*/ 2486025 w 4476750"/>
            <a:gd name="connsiteY32" fmla="*/ 161925 h 486663"/>
            <a:gd name="connsiteX33" fmla="*/ 2543175 w 4476750"/>
            <a:gd name="connsiteY33" fmla="*/ 171450 h 486663"/>
            <a:gd name="connsiteX34" fmla="*/ 2638425 w 4476750"/>
            <a:gd name="connsiteY34" fmla="*/ 180975 h 486663"/>
            <a:gd name="connsiteX35" fmla="*/ 2657475 w 4476750"/>
            <a:gd name="connsiteY35" fmla="*/ 209550 h 486663"/>
            <a:gd name="connsiteX36" fmla="*/ 2714625 w 4476750"/>
            <a:gd name="connsiteY36" fmla="*/ 257175 h 486663"/>
            <a:gd name="connsiteX37" fmla="*/ 2733675 w 4476750"/>
            <a:gd name="connsiteY37" fmla="*/ 285750 h 486663"/>
            <a:gd name="connsiteX38" fmla="*/ 2771775 w 4476750"/>
            <a:gd name="connsiteY38" fmla="*/ 314325 h 486663"/>
            <a:gd name="connsiteX39" fmla="*/ 2857500 w 4476750"/>
            <a:gd name="connsiteY39" fmla="*/ 361950 h 486663"/>
            <a:gd name="connsiteX40" fmla="*/ 2905125 w 4476750"/>
            <a:gd name="connsiteY40" fmla="*/ 381000 h 486663"/>
            <a:gd name="connsiteX41" fmla="*/ 3000375 w 4476750"/>
            <a:gd name="connsiteY41" fmla="*/ 400050 h 486663"/>
            <a:gd name="connsiteX42" fmla="*/ 3028950 w 4476750"/>
            <a:gd name="connsiteY42" fmla="*/ 409575 h 486663"/>
            <a:gd name="connsiteX43" fmla="*/ 3114675 w 4476750"/>
            <a:gd name="connsiteY43" fmla="*/ 428625 h 486663"/>
            <a:gd name="connsiteX44" fmla="*/ 3209925 w 4476750"/>
            <a:gd name="connsiteY44" fmla="*/ 438150 h 486663"/>
            <a:gd name="connsiteX45" fmla="*/ 3362325 w 4476750"/>
            <a:gd name="connsiteY45" fmla="*/ 457200 h 486663"/>
            <a:gd name="connsiteX46" fmla="*/ 3638550 w 4476750"/>
            <a:gd name="connsiteY46" fmla="*/ 476250 h 486663"/>
            <a:gd name="connsiteX47" fmla="*/ 3781425 w 4476750"/>
            <a:gd name="connsiteY47" fmla="*/ 466725 h 486663"/>
            <a:gd name="connsiteX48" fmla="*/ 3848100 w 4476750"/>
            <a:gd name="connsiteY48" fmla="*/ 438150 h 486663"/>
            <a:gd name="connsiteX49" fmla="*/ 3924300 w 4476750"/>
            <a:gd name="connsiteY49" fmla="*/ 428625 h 486663"/>
            <a:gd name="connsiteX50" fmla="*/ 3962400 w 4476750"/>
            <a:gd name="connsiteY50" fmla="*/ 419100 h 486663"/>
            <a:gd name="connsiteX51" fmla="*/ 4038600 w 4476750"/>
            <a:gd name="connsiteY51" fmla="*/ 390525 h 486663"/>
            <a:gd name="connsiteX52" fmla="*/ 4076700 w 4476750"/>
            <a:gd name="connsiteY52" fmla="*/ 352425 h 486663"/>
            <a:gd name="connsiteX53" fmla="*/ 4114800 w 4476750"/>
            <a:gd name="connsiteY53" fmla="*/ 342900 h 486663"/>
            <a:gd name="connsiteX54" fmla="*/ 4476750 w 4476750"/>
            <a:gd name="connsiteY54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704850 w 4476750"/>
            <a:gd name="connsiteY5" fmla="*/ 19050 h 486663"/>
            <a:gd name="connsiteX6" fmla="*/ 790575 w 4476750"/>
            <a:gd name="connsiteY6" fmla="*/ 38100 h 486663"/>
            <a:gd name="connsiteX7" fmla="*/ 819150 w 4476750"/>
            <a:gd name="connsiteY7" fmla="*/ 47625 h 486663"/>
            <a:gd name="connsiteX8" fmla="*/ 904875 w 4476750"/>
            <a:gd name="connsiteY8" fmla="*/ 66675 h 486663"/>
            <a:gd name="connsiteX9" fmla="*/ 1028700 w 4476750"/>
            <a:gd name="connsiteY9" fmla="*/ 28575 h 486663"/>
            <a:gd name="connsiteX10" fmla="*/ 1123950 w 4476750"/>
            <a:gd name="connsiteY10" fmla="*/ 57150 h 486663"/>
            <a:gd name="connsiteX11" fmla="*/ 1143000 w 4476750"/>
            <a:gd name="connsiteY11" fmla="*/ 95250 h 486663"/>
            <a:gd name="connsiteX12" fmla="*/ 1190625 w 4476750"/>
            <a:gd name="connsiteY12" fmla="*/ 133350 h 486663"/>
            <a:gd name="connsiteX13" fmla="*/ 1228725 w 4476750"/>
            <a:gd name="connsiteY13" fmla="*/ 171450 h 486663"/>
            <a:gd name="connsiteX14" fmla="*/ 1257300 w 4476750"/>
            <a:gd name="connsiteY14" fmla="*/ 209550 h 486663"/>
            <a:gd name="connsiteX15" fmla="*/ 1333500 w 4476750"/>
            <a:gd name="connsiteY15" fmla="*/ 219075 h 486663"/>
            <a:gd name="connsiteX16" fmla="*/ 1466850 w 4476750"/>
            <a:gd name="connsiteY16" fmla="*/ 228600 h 486663"/>
            <a:gd name="connsiteX17" fmla="*/ 1590675 w 4476750"/>
            <a:gd name="connsiteY17" fmla="*/ 200025 h 486663"/>
            <a:gd name="connsiteX18" fmla="*/ 1619250 w 4476750"/>
            <a:gd name="connsiteY18" fmla="*/ 190500 h 486663"/>
            <a:gd name="connsiteX19" fmla="*/ 1657350 w 4476750"/>
            <a:gd name="connsiteY19" fmla="*/ 200025 h 486663"/>
            <a:gd name="connsiteX20" fmla="*/ 1743075 w 4476750"/>
            <a:gd name="connsiteY20" fmla="*/ 171450 h 486663"/>
            <a:gd name="connsiteX21" fmla="*/ 1819275 w 4476750"/>
            <a:gd name="connsiteY21" fmla="*/ 123825 h 486663"/>
            <a:gd name="connsiteX22" fmla="*/ 1876425 w 4476750"/>
            <a:gd name="connsiteY22" fmla="*/ 104775 h 486663"/>
            <a:gd name="connsiteX23" fmla="*/ 1924050 w 4476750"/>
            <a:gd name="connsiteY23" fmla="*/ 57150 h 486663"/>
            <a:gd name="connsiteX24" fmla="*/ 1952625 w 4476750"/>
            <a:gd name="connsiteY24" fmla="*/ 66675 h 486663"/>
            <a:gd name="connsiteX25" fmla="*/ 1981200 w 4476750"/>
            <a:gd name="connsiteY25" fmla="*/ 57150 h 486663"/>
            <a:gd name="connsiteX26" fmla="*/ 2095500 w 4476750"/>
            <a:gd name="connsiteY26" fmla="*/ 85725 h 486663"/>
            <a:gd name="connsiteX27" fmla="*/ 2152650 w 4476750"/>
            <a:gd name="connsiteY27" fmla="*/ 95250 h 486663"/>
            <a:gd name="connsiteX28" fmla="*/ 2181225 w 4476750"/>
            <a:gd name="connsiteY28" fmla="*/ 104775 h 486663"/>
            <a:gd name="connsiteX29" fmla="*/ 2333625 w 4476750"/>
            <a:gd name="connsiteY29" fmla="*/ 114300 h 486663"/>
            <a:gd name="connsiteX30" fmla="*/ 2438400 w 4476750"/>
            <a:gd name="connsiteY30" fmla="*/ 152400 h 486663"/>
            <a:gd name="connsiteX31" fmla="*/ 2486025 w 4476750"/>
            <a:gd name="connsiteY31" fmla="*/ 161925 h 486663"/>
            <a:gd name="connsiteX32" fmla="*/ 2543175 w 4476750"/>
            <a:gd name="connsiteY32" fmla="*/ 171450 h 486663"/>
            <a:gd name="connsiteX33" fmla="*/ 2638425 w 4476750"/>
            <a:gd name="connsiteY33" fmla="*/ 180975 h 486663"/>
            <a:gd name="connsiteX34" fmla="*/ 2657475 w 4476750"/>
            <a:gd name="connsiteY34" fmla="*/ 209550 h 486663"/>
            <a:gd name="connsiteX35" fmla="*/ 2714625 w 4476750"/>
            <a:gd name="connsiteY35" fmla="*/ 257175 h 486663"/>
            <a:gd name="connsiteX36" fmla="*/ 2733675 w 4476750"/>
            <a:gd name="connsiteY36" fmla="*/ 285750 h 486663"/>
            <a:gd name="connsiteX37" fmla="*/ 2771775 w 4476750"/>
            <a:gd name="connsiteY37" fmla="*/ 314325 h 486663"/>
            <a:gd name="connsiteX38" fmla="*/ 2857500 w 4476750"/>
            <a:gd name="connsiteY38" fmla="*/ 361950 h 486663"/>
            <a:gd name="connsiteX39" fmla="*/ 2905125 w 4476750"/>
            <a:gd name="connsiteY39" fmla="*/ 381000 h 486663"/>
            <a:gd name="connsiteX40" fmla="*/ 3000375 w 4476750"/>
            <a:gd name="connsiteY40" fmla="*/ 400050 h 486663"/>
            <a:gd name="connsiteX41" fmla="*/ 3028950 w 4476750"/>
            <a:gd name="connsiteY41" fmla="*/ 409575 h 486663"/>
            <a:gd name="connsiteX42" fmla="*/ 3114675 w 4476750"/>
            <a:gd name="connsiteY42" fmla="*/ 428625 h 486663"/>
            <a:gd name="connsiteX43" fmla="*/ 3209925 w 4476750"/>
            <a:gd name="connsiteY43" fmla="*/ 438150 h 486663"/>
            <a:gd name="connsiteX44" fmla="*/ 3362325 w 4476750"/>
            <a:gd name="connsiteY44" fmla="*/ 457200 h 486663"/>
            <a:gd name="connsiteX45" fmla="*/ 3638550 w 4476750"/>
            <a:gd name="connsiteY45" fmla="*/ 476250 h 486663"/>
            <a:gd name="connsiteX46" fmla="*/ 3781425 w 4476750"/>
            <a:gd name="connsiteY46" fmla="*/ 466725 h 486663"/>
            <a:gd name="connsiteX47" fmla="*/ 3848100 w 4476750"/>
            <a:gd name="connsiteY47" fmla="*/ 438150 h 486663"/>
            <a:gd name="connsiteX48" fmla="*/ 3924300 w 4476750"/>
            <a:gd name="connsiteY48" fmla="*/ 428625 h 486663"/>
            <a:gd name="connsiteX49" fmla="*/ 3962400 w 4476750"/>
            <a:gd name="connsiteY49" fmla="*/ 419100 h 486663"/>
            <a:gd name="connsiteX50" fmla="*/ 4038600 w 4476750"/>
            <a:gd name="connsiteY50" fmla="*/ 390525 h 486663"/>
            <a:gd name="connsiteX51" fmla="*/ 4076700 w 4476750"/>
            <a:gd name="connsiteY51" fmla="*/ 352425 h 486663"/>
            <a:gd name="connsiteX52" fmla="*/ 4114800 w 4476750"/>
            <a:gd name="connsiteY52" fmla="*/ 342900 h 486663"/>
            <a:gd name="connsiteX53" fmla="*/ 4476750 w 4476750"/>
            <a:gd name="connsiteY53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704850 w 4476750"/>
            <a:gd name="connsiteY4" fmla="*/ 19050 h 486663"/>
            <a:gd name="connsiteX5" fmla="*/ 790575 w 4476750"/>
            <a:gd name="connsiteY5" fmla="*/ 38100 h 486663"/>
            <a:gd name="connsiteX6" fmla="*/ 819150 w 4476750"/>
            <a:gd name="connsiteY6" fmla="*/ 47625 h 486663"/>
            <a:gd name="connsiteX7" fmla="*/ 904875 w 4476750"/>
            <a:gd name="connsiteY7" fmla="*/ 66675 h 486663"/>
            <a:gd name="connsiteX8" fmla="*/ 1028700 w 4476750"/>
            <a:gd name="connsiteY8" fmla="*/ 28575 h 486663"/>
            <a:gd name="connsiteX9" fmla="*/ 1123950 w 4476750"/>
            <a:gd name="connsiteY9" fmla="*/ 57150 h 486663"/>
            <a:gd name="connsiteX10" fmla="*/ 1143000 w 4476750"/>
            <a:gd name="connsiteY10" fmla="*/ 95250 h 486663"/>
            <a:gd name="connsiteX11" fmla="*/ 1190625 w 4476750"/>
            <a:gd name="connsiteY11" fmla="*/ 133350 h 486663"/>
            <a:gd name="connsiteX12" fmla="*/ 1228725 w 4476750"/>
            <a:gd name="connsiteY12" fmla="*/ 171450 h 486663"/>
            <a:gd name="connsiteX13" fmla="*/ 1257300 w 4476750"/>
            <a:gd name="connsiteY13" fmla="*/ 209550 h 486663"/>
            <a:gd name="connsiteX14" fmla="*/ 1333500 w 4476750"/>
            <a:gd name="connsiteY14" fmla="*/ 219075 h 486663"/>
            <a:gd name="connsiteX15" fmla="*/ 1466850 w 4476750"/>
            <a:gd name="connsiteY15" fmla="*/ 228600 h 486663"/>
            <a:gd name="connsiteX16" fmla="*/ 1590675 w 4476750"/>
            <a:gd name="connsiteY16" fmla="*/ 200025 h 486663"/>
            <a:gd name="connsiteX17" fmla="*/ 1619250 w 4476750"/>
            <a:gd name="connsiteY17" fmla="*/ 190500 h 486663"/>
            <a:gd name="connsiteX18" fmla="*/ 1657350 w 4476750"/>
            <a:gd name="connsiteY18" fmla="*/ 200025 h 486663"/>
            <a:gd name="connsiteX19" fmla="*/ 1743075 w 4476750"/>
            <a:gd name="connsiteY19" fmla="*/ 171450 h 486663"/>
            <a:gd name="connsiteX20" fmla="*/ 1819275 w 4476750"/>
            <a:gd name="connsiteY20" fmla="*/ 123825 h 486663"/>
            <a:gd name="connsiteX21" fmla="*/ 1876425 w 4476750"/>
            <a:gd name="connsiteY21" fmla="*/ 104775 h 486663"/>
            <a:gd name="connsiteX22" fmla="*/ 1924050 w 4476750"/>
            <a:gd name="connsiteY22" fmla="*/ 57150 h 486663"/>
            <a:gd name="connsiteX23" fmla="*/ 1952625 w 4476750"/>
            <a:gd name="connsiteY23" fmla="*/ 66675 h 486663"/>
            <a:gd name="connsiteX24" fmla="*/ 1981200 w 4476750"/>
            <a:gd name="connsiteY24" fmla="*/ 57150 h 486663"/>
            <a:gd name="connsiteX25" fmla="*/ 2095500 w 4476750"/>
            <a:gd name="connsiteY25" fmla="*/ 85725 h 486663"/>
            <a:gd name="connsiteX26" fmla="*/ 2152650 w 4476750"/>
            <a:gd name="connsiteY26" fmla="*/ 95250 h 486663"/>
            <a:gd name="connsiteX27" fmla="*/ 2181225 w 4476750"/>
            <a:gd name="connsiteY27" fmla="*/ 104775 h 486663"/>
            <a:gd name="connsiteX28" fmla="*/ 2333625 w 4476750"/>
            <a:gd name="connsiteY28" fmla="*/ 114300 h 486663"/>
            <a:gd name="connsiteX29" fmla="*/ 2438400 w 4476750"/>
            <a:gd name="connsiteY29" fmla="*/ 152400 h 486663"/>
            <a:gd name="connsiteX30" fmla="*/ 2486025 w 4476750"/>
            <a:gd name="connsiteY30" fmla="*/ 161925 h 486663"/>
            <a:gd name="connsiteX31" fmla="*/ 2543175 w 4476750"/>
            <a:gd name="connsiteY31" fmla="*/ 171450 h 486663"/>
            <a:gd name="connsiteX32" fmla="*/ 2638425 w 4476750"/>
            <a:gd name="connsiteY32" fmla="*/ 180975 h 486663"/>
            <a:gd name="connsiteX33" fmla="*/ 2657475 w 4476750"/>
            <a:gd name="connsiteY33" fmla="*/ 209550 h 486663"/>
            <a:gd name="connsiteX34" fmla="*/ 2714625 w 4476750"/>
            <a:gd name="connsiteY34" fmla="*/ 257175 h 486663"/>
            <a:gd name="connsiteX35" fmla="*/ 2733675 w 4476750"/>
            <a:gd name="connsiteY35" fmla="*/ 285750 h 486663"/>
            <a:gd name="connsiteX36" fmla="*/ 2771775 w 4476750"/>
            <a:gd name="connsiteY36" fmla="*/ 314325 h 486663"/>
            <a:gd name="connsiteX37" fmla="*/ 2857500 w 4476750"/>
            <a:gd name="connsiteY37" fmla="*/ 361950 h 486663"/>
            <a:gd name="connsiteX38" fmla="*/ 2905125 w 4476750"/>
            <a:gd name="connsiteY38" fmla="*/ 381000 h 486663"/>
            <a:gd name="connsiteX39" fmla="*/ 3000375 w 4476750"/>
            <a:gd name="connsiteY39" fmla="*/ 400050 h 486663"/>
            <a:gd name="connsiteX40" fmla="*/ 3028950 w 4476750"/>
            <a:gd name="connsiteY40" fmla="*/ 409575 h 486663"/>
            <a:gd name="connsiteX41" fmla="*/ 3114675 w 4476750"/>
            <a:gd name="connsiteY41" fmla="*/ 428625 h 486663"/>
            <a:gd name="connsiteX42" fmla="*/ 3209925 w 4476750"/>
            <a:gd name="connsiteY42" fmla="*/ 438150 h 486663"/>
            <a:gd name="connsiteX43" fmla="*/ 3362325 w 4476750"/>
            <a:gd name="connsiteY43" fmla="*/ 457200 h 486663"/>
            <a:gd name="connsiteX44" fmla="*/ 3638550 w 4476750"/>
            <a:gd name="connsiteY44" fmla="*/ 476250 h 486663"/>
            <a:gd name="connsiteX45" fmla="*/ 3781425 w 4476750"/>
            <a:gd name="connsiteY45" fmla="*/ 466725 h 486663"/>
            <a:gd name="connsiteX46" fmla="*/ 3848100 w 4476750"/>
            <a:gd name="connsiteY46" fmla="*/ 438150 h 486663"/>
            <a:gd name="connsiteX47" fmla="*/ 3924300 w 4476750"/>
            <a:gd name="connsiteY47" fmla="*/ 428625 h 486663"/>
            <a:gd name="connsiteX48" fmla="*/ 3962400 w 4476750"/>
            <a:gd name="connsiteY48" fmla="*/ 419100 h 486663"/>
            <a:gd name="connsiteX49" fmla="*/ 4038600 w 4476750"/>
            <a:gd name="connsiteY49" fmla="*/ 390525 h 486663"/>
            <a:gd name="connsiteX50" fmla="*/ 4076700 w 4476750"/>
            <a:gd name="connsiteY50" fmla="*/ 352425 h 486663"/>
            <a:gd name="connsiteX51" fmla="*/ 4114800 w 4476750"/>
            <a:gd name="connsiteY51" fmla="*/ 342900 h 486663"/>
            <a:gd name="connsiteX52" fmla="*/ 4476750 w 4476750"/>
            <a:gd name="connsiteY52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304800 w 4476750"/>
            <a:gd name="connsiteY2" fmla="*/ 38100 h 486663"/>
            <a:gd name="connsiteX3" fmla="*/ 704850 w 4476750"/>
            <a:gd name="connsiteY3" fmla="*/ 19050 h 486663"/>
            <a:gd name="connsiteX4" fmla="*/ 790575 w 4476750"/>
            <a:gd name="connsiteY4" fmla="*/ 38100 h 486663"/>
            <a:gd name="connsiteX5" fmla="*/ 819150 w 4476750"/>
            <a:gd name="connsiteY5" fmla="*/ 47625 h 486663"/>
            <a:gd name="connsiteX6" fmla="*/ 904875 w 4476750"/>
            <a:gd name="connsiteY6" fmla="*/ 66675 h 486663"/>
            <a:gd name="connsiteX7" fmla="*/ 1028700 w 4476750"/>
            <a:gd name="connsiteY7" fmla="*/ 28575 h 486663"/>
            <a:gd name="connsiteX8" fmla="*/ 1123950 w 4476750"/>
            <a:gd name="connsiteY8" fmla="*/ 57150 h 486663"/>
            <a:gd name="connsiteX9" fmla="*/ 1143000 w 4476750"/>
            <a:gd name="connsiteY9" fmla="*/ 95250 h 486663"/>
            <a:gd name="connsiteX10" fmla="*/ 1190625 w 4476750"/>
            <a:gd name="connsiteY10" fmla="*/ 133350 h 486663"/>
            <a:gd name="connsiteX11" fmla="*/ 1228725 w 4476750"/>
            <a:gd name="connsiteY11" fmla="*/ 171450 h 486663"/>
            <a:gd name="connsiteX12" fmla="*/ 1257300 w 4476750"/>
            <a:gd name="connsiteY12" fmla="*/ 209550 h 486663"/>
            <a:gd name="connsiteX13" fmla="*/ 1333500 w 4476750"/>
            <a:gd name="connsiteY13" fmla="*/ 219075 h 486663"/>
            <a:gd name="connsiteX14" fmla="*/ 1466850 w 4476750"/>
            <a:gd name="connsiteY14" fmla="*/ 228600 h 486663"/>
            <a:gd name="connsiteX15" fmla="*/ 1590675 w 4476750"/>
            <a:gd name="connsiteY15" fmla="*/ 200025 h 486663"/>
            <a:gd name="connsiteX16" fmla="*/ 1619250 w 4476750"/>
            <a:gd name="connsiteY16" fmla="*/ 190500 h 486663"/>
            <a:gd name="connsiteX17" fmla="*/ 1657350 w 4476750"/>
            <a:gd name="connsiteY17" fmla="*/ 200025 h 486663"/>
            <a:gd name="connsiteX18" fmla="*/ 1743075 w 4476750"/>
            <a:gd name="connsiteY18" fmla="*/ 171450 h 486663"/>
            <a:gd name="connsiteX19" fmla="*/ 1819275 w 4476750"/>
            <a:gd name="connsiteY19" fmla="*/ 123825 h 486663"/>
            <a:gd name="connsiteX20" fmla="*/ 1876425 w 4476750"/>
            <a:gd name="connsiteY20" fmla="*/ 104775 h 486663"/>
            <a:gd name="connsiteX21" fmla="*/ 1924050 w 4476750"/>
            <a:gd name="connsiteY21" fmla="*/ 57150 h 486663"/>
            <a:gd name="connsiteX22" fmla="*/ 1952625 w 4476750"/>
            <a:gd name="connsiteY22" fmla="*/ 66675 h 486663"/>
            <a:gd name="connsiteX23" fmla="*/ 1981200 w 4476750"/>
            <a:gd name="connsiteY23" fmla="*/ 57150 h 486663"/>
            <a:gd name="connsiteX24" fmla="*/ 2095500 w 4476750"/>
            <a:gd name="connsiteY24" fmla="*/ 85725 h 486663"/>
            <a:gd name="connsiteX25" fmla="*/ 2152650 w 4476750"/>
            <a:gd name="connsiteY25" fmla="*/ 95250 h 486663"/>
            <a:gd name="connsiteX26" fmla="*/ 2181225 w 4476750"/>
            <a:gd name="connsiteY26" fmla="*/ 104775 h 486663"/>
            <a:gd name="connsiteX27" fmla="*/ 2333625 w 4476750"/>
            <a:gd name="connsiteY27" fmla="*/ 114300 h 486663"/>
            <a:gd name="connsiteX28" fmla="*/ 2438400 w 4476750"/>
            <a:gd name="connsiteY28" fmla="*/ 152400 h 486663"/>
            <a:gd name="connsiteX29" fmla="*/ 2486025 w 4476750"/>
            <a:gd name="connsiteY29" fmla="*/ 161925 h 486663"/>
            <a:gd name="connsiteX30" fmla="*/ 2543175 w 4476750"/>
            <a:gd name="connsiteY30" fmla="*/ 171450 h 486663"/>
            <a:gd name="connsiteX31" fmla="*/ 2638425 w 4476750"/>
            <a:gd name="connsiteY31" fmla="*/ 180975 h 486663"/>
            <a:gd name="connsiteX32" fmla="*/ 2657475 w 4476750"/>
            <a:gd name="connsiteY32" fmla="*/ 209550 h 486663"/>
            <a:gd name="connsiteX33" fmla="*/ 2714625 w 4476750"/>
            <a:gd name="connsiteY33" fmla="*/ 257175 h 486663"/>
            <a:gd name="connsiteX34" fmla="*/ 2733675 w 4476750"/>
            <a:gd name="connsiteY34" fmla="*/ 285750 h 486663"/>
            <a:gd name="connsiteX35" fmla="*/ 2771775 w 4476750"/>
            <a:gd name="connsiteY35" fmla="*/ 314325 h 486663"/>
            <a:gd name="connsiteX36" fmla="*/ 2857500 w 4476750"/>
            <a:gd name="connsiteY36" fmla="*/ 361950 h 486663"/>
            <a:gd name="connsiteX37" fmla="*/ 2905125 w 4476750"/>
            <a:gd name="connsiteY37" fmla="*/ 381000 h 486663"/>
            <a:gd name="connsiteX38" fmla="*/ 3000375 w 4476750"/>
            <a:gd name="connsiteY38" fmla="*/ 400050 h 486663"/>
            <a:gd name="connsiteX39" fmla="*/ 3028950 w 4476750"/>
            <a:gd name="connsiteY39" fmla="*/ 409575 h 486663"/>
            <a:gd name="connsiteX40" fmla="*/ 3114675 w 4476750"/>
            <a:gd name="connsiteY40" fmla="*/ 428625 h 486663"/>
            <a:gd name="connsiteX41" fmla="*/ 3209925 w 4476750"/>
            <a:gd name="connsiteY41" fmla="*/ 438150 h 486663"/>
            <a:gd name="connsiteX42" fmla="*/ 3362325 w 4476750"/>
            <a:gd name="connsiteY42" fmla="*/ 457200 h 486663"/>
            <a:gd name="connsiteX43" fmla="*/ 3638550 w 4476750"/>
            <a:gd name="connsiteY43" fmla="*/ 476250 h 486663"/>
            <a:gd name="connsiteX44" fmla="*/ 3781425 w 4476750"/>
            <a:gd name="connsiteY44" fmla="*/ 466725 h 486663"/>
            <a:gd name="connsiteX45" fmla="*/ 3848100 w 4476750"/>
            <a:gd name="connsiteY45" fmla="*/ 438150 h 486663"/>
            <a:gd name="connsiteX46" fmla="*/ 3924300 w 4476750"/>
            <a:gd name="connsiteY46" fmla="*/ 428625 h 486663"/>
            <a:gd name="connsiteX47" fmla="*/ 3962400 w 4476750"/>
            <a:gd name="connsiteY47" fmla="*/ 419100 h 486663"/>
            <a:gd name="connsiteX48" fmla="*/ 4038600 w 4476750"/>
            <a:gd name="connsiteY48" fmla="*/ 390525 h 486663"/>
            <a:gd name="connsiteX49" fmla="*/ 4076700 w 4476750"/>
            <a:gd name="connsiteY49" fmla="*/ 352425 h 486663"/>
            <a:gd name="connsiteX50" fmla="*/ 4114800 w 4476750"/>
            <a:gd name="connsiteY50" fmla="*/ 342900 h 486663"/>
            <a:gd name="connsiteX51" fmla="*/ 4476750 w 4476750"/>
            <a:gd name="connsiteY51" fmla="*/ 352425 h 486663"/>
            <a:gd name="connsiteX0" fmla="*/ 2419 w 4479169"/>
            <a:gd name="connsiteY0" fmla="*/ 0 h 486663"/>
            <a:gd name="connsiteX1" fmla="*/ 69094 w 4479169"/>
            <a:gd name="connsiteY1" fmla="*/ 28575 h 486663"/>
            <a:gd name="connsiteX2" fmla="*/ 707269 w 4479169"/>
            <a:gd name="connsiteY2" fmla="*/ 19050 h 486663"/>
            <a:gd name="connsiteX3" fmla="*/ 792994 w 4479169"/>
            <a:gd name="connsiteY3" fmla="*/ 38100 h 486663"/>
            <a:gd name="connsiteX4" fmla="*/ 821569 w 4479169"/>
            <a:gd name="connsiteY4" fmla="*/ 47625 h 486663"/>
            <a:gd name="connsiteX5" fmla="*/ 907294 w 4479169"/>
            <a:gd name="connsiteY5" fmla="*/ 66675 h 486663"/>
            <a:gd name="connsiteX6" fmla="*/ 1031119 w 4479169"/>
            <a:gd name="connsiteY6" fmla="*/ 28575 h 486663"/>
            <a:gd name="connsiteX7" fmla="*/ 1126369 w 4479169"/>
            <a:gd name="connsiteY7" fmla="*/ 57150 h 486663"/>
            <a:gd name="connsiteX8" fmla="*/ 1145419 w 4479169"/>
            <a:gd name="connsiteY8" fmla="*/ 95250 h 486663"/>
            <a:gd name="connsiteX9" fmla="*/ 1193044 w 4479169"/>
            <a:gd name="connsiteY9" fmla="*/ 133350 h 486663"/>
            <a:gd name="connsiteX10" fmla="*/ 1231144 w 4479169"/>
            <a:gd name="connsiteY10" fmla="*/ 171450 h 486663"/>
            <a:gd name="connsiteX11" fmla="*/ 1259719 w 4479169"/>
            <a:gd name="connsiteY11" fmla="*/ 209550 h 486663"/>
            <a:gd name="connsiteX12" fmla="*/ 1335919 w 4479169"/>
            <a:gd name="connsiteY12" fmla="*/ 219075 h 486663"/>
            <a:gd name="connsiteX13" fmla="*/ 1469269 w 4479169"/>
            <a:gd name="connsiteY13" fmla="*/ 228600 h 486663"/>
            <a:gd name="connsiteX14" fmla="*/ 1593094 w 4479169"/>
            <a:gd name="connsiteY14" fmla="*/ 200025 h 486663"/>
            <a:gd name="connsiteX15" fmla="*/ 1621669 w 4479169"/>
            <a:gd name="connsiteY15" fmla="*/ 190500 h 486663"/>
            <a:gd name="connsiteX16" fmla="*/ 1659769 w 4479169"/>
            <a:gd name="connsiteY16" fmla="*/ 200025 h 486663"/>
            <a:gd name="connsiteX17" fmla="*/ 1745494 w 4479169"/>
            <a:gd name="connsiteY17" fmla="*/ 171450 h 486663"/>
            <a:gd name="connsiteX18" fmla="*/ 1821694 w 4479169"/>
            <a:gd name="connsiteY18" fmla="*/ 123825 h 486663"/>
            <a:gd name="connsiteX19" fmla="*/ 1878844 w 4479169"/>
            <a:gd name="connsiteY19" fmla="*/ 104775 h 486663"/>
            <a:gd name="connsiteX20" fmla="*/ 1926469 w 4479169"/>
            <a:gd name="connsiteY20" fmla="*/ 57150 h 486663"/>
            <a:gd name="connsiteX21" fmla="*/ 1955044 w 4479169"/>
            <a:gd name="connsiteY21" fmla="*/ 66675 h 486663"/>
            <a:gd name="connsiteX22" fmla="*/ 1983619 w 4479169"/>
            <a:gd name="connsiteY22" fmla="*/ 57150 h 486663"/>
            <a:gd name="connsiteX23" fmla="*/ 2097919 w 4479169"/>
            <a:gd name="connsiteY23" fmla="*/ 85725 h 486663"/>
            <a:gd name="connsiteX24" fmla="*/ 2155069 w 4479169"/>
            <a:gd name="connsiteY24" fmla="*/ 95250 h 486663"/>
            <a:gd name="connsiteX25" fmla="*/ 2183644 w 4479169"/>
            <a:gd name="connsiteY25" fmla="*/ 104775 h 486663"/>
            <a:gd name="connsiteX26" fmla="*/ 2336044 w 4479169"/>
            <a:gd name="connsiteY26" fmla="*/ 114300 h 486663"/>
            <a:gd name="connsiteX27" fmla="*/ 2440819 w 4479169"/>
            <a:gd name="connsiteY27" fmla="*/ 152400 h 486663"/>
            <a:gd name="connsiteX28" fmla="*/ 2488444 w 4479169"/>
            <a:gd name="connsiteY28" fmla="*/ 161925 h 486663"/>
            <a:gd name="connsiteX29" fmla="*/ 2545594 w 4479169"/>
            <a:gd name="connsiteY29" fmla="*/ 171450 h 486663"/>
            <a:gd name="connsiteX30" fmla="*/ 2640844 w 4479169"/>
            <a:gd name="connsiteY30" fmla="*/ 180975 h 486663"/>
            <a:gd name="connsiteX31" fmla="*/ 2659894 w 4479169"/>
            <a:gd name="connsiteY31" fmla="*/ 209550 h 486663"/>
            <a:gd name="connsiteX32" fmla="*/ 2717044 w 4479169"/>
            <a:gd name="connsiteY32" fmla="*/ 257175 h 486663"/>
            <a:gd name="connsiteX33" fmla="*/ 2736094 w 4479169"/>
            <a:gd name="connsiteY33" fmla="*/ 285750 h 486663"/>
            <a:gd name="connsiteX34" fmla="*/ 2774194 w 4479169"/>
            <a:gd name="connsiteY34" fmla="*/ 314325 h 486663"/>
            <a:gd name="connsiteX35" fmla="*/ 2859919 w 4479169"/>
            <a:gd name="connsiteY35" fmla="*/ 361950 h 486663"/>
            <a:gd name="connsiteX36" fmla="*/ 2907544 w 4479169"/>
            <a:gd name="connsiteY36" fmla="*/ 381000 h 486663"/>
            <a:gd name="connsiteX37" fmla="*/ 3002794 w 4479169"/>
            <a:gd name="connsiteY37" fmla="*/ 400050 h 486663"/>
            <a:gd name="connsiteX38" fmla="*/ 3031369 w 4479169"/>
            <a:gd name="connsiteY38" fmla="*/ 409575 h 486663"/>
            <a:gd name="connsiteX39" fmla="*/ 3117094 w 4479169"/>
            <a:gd name="connsiteY39" fmla="*/ 428625 h 486663"/>
            <a:gd name="connsiteX40" fmla="*/ 3212344 w 4479169"/>
            <a:gd name="connsiteY40" fmla="*/ 438150 h 486663"/>
            <a:gd name="connsiteX41" fmla="*/ 3364744 w 4479169"/>
            <a:gd name="connsiteY41" fmla="*/ 457200 h 486663"/>
            <a:gd name="connsiteX42" fmla="*/ 3640969 w 4479169"/>
            <a:gd name="connsiteY42" fmla="*/ 476250 h 486663"/>
            <a:gd name="connsiteX43" fmla="*/ 3783844 w 4479169"/>
            <a:gd name="connsiteY43" fmla="*/ 466725 h 486663"/>
            <a:gd name="connsiteX44" fmla="*/ 3850519 w 4479169"/>
            <a:gd name="connsiteY44" fmla="*/ 438150 h 486663"/>
            <a:gd name="connsiteX45" fmla="*/ 3926719 w 4479169"/>
            <a:gd name="connsiteY45" fmla="*/ 428625 h 486663"/>
            <a:gd name="connsiteX46" fmla="*/ 3964819 w 4479169"/>
            <a:gd name="connsiteY46" fmla="*/ 419100 h 486663"/>
            <a:gd name="connsiteX47" fmla="*/ 4041019 w 4479169"/>
            <a:gd name="connsiteY47" fmla="*/ 390525 h 486663"/>
            <a:gd name="connsiteX48" fmla="*/ 4079119 w 4479169"/>
            <a:gd name="connsiteY48" fmla="*/ 352425 h 486663"/>
            <a:gd name="connsiteX49" fmla="*/ 4117219 w 4479169"/>
            <a:gd name="connsiteY49" fmla="*/ 342900 h 486663"/>
            <a:gd name="connsiteX50" fmla="*/ 4479169 w 4479169"/>
            <a:gd name="connsiteY50" fmla="*/ 352425 h 486663"/>
            <a:gd name="connsiteX0" fmla="*/ 0 w 4476750"/>
            <a:gd name="connsiteY0" fmla="*/ 0 h 486663"/>
            <a:gd name="connsiteX1" fmla="*/ 704850 w 4476750"/>
            <a:gd name="connsiteY1" fmla="*/ 19050 h 486663"/>
            <a:gd name="connsiteX2" fmla="*/ 790575 w 4476750"/>
            <a:gd name="connsiteY2" fmla="*/ 38100 h 486663"/>
            <a:gd name="connsiteX3" fmla="*/ 819150 w 4476750"/>
            <a:gd name="connsiteY3" fmla="*/ 47625 h 486663"/>
            <a:gd name="connsiteX4" fmla="*/ 904875 w 4476750"/>
            <a:gd name="connsiteY4" fmla="*/ 66675 h 486663"/>
            <a:gd name="connsiteX5" fmla="*/ 1028700 w 4476750"/>
            <a:gd name="connsiteY5" fmla="*/ 28575 h 486663"/>
            <a:gd name="connsiteX6" fmla="*/ 1123950 w 4476750"/>
            <a:gd name="connsiteY6" fmla="*/ 57150 h 486663"/>
            <a:gd name="connsiteX7" fmla="*/ 1143000 w 4476750"/>
            <a:gd name="connsiteY7" fmla="*/ 95250 h 486663"/>
            <a:gd name="connsiteX8" fmla="*/ 1190625 w 4476750"/>
            <a:gd name="connsiteY8" fmla="*/ 133350 h 486663"/>
            <a:gd name="connsiteX9" fmla="*/ 1228725 w 4476750"/>
            <a:gd name="connsiteY9" fmla="*/ 171450 h 486663"/>
            <a:gd name="connsiteX10" fmla="*/ 1257300 w 4476750"/>
            <a:gd name="connsiteY10" fmla="*/ 209550 h 486663"/>
            <a:gd name="connsiteX11" fmla="*/ 1333500 w 4476750"/>
            <a:gd name="connsiteY11" fmla="*/ 219075 h 486663"/>
            <a:gd name="connsiteX12" fmla="*/ 1466850 w 4476750"/>
            <a:gd name="connsiteY12" fmla="*/ 228600 h 486663"/>
            <a:gd name="connsiteX13" fmla="*/ 1590675 w 4476750"/>
            <a:gd name="connsiteY13" fmla="*/ 200025 h 486663"/>
            <a:gd name="connsiteX14" fmla="*/ 1619250 w 4476750"/>
            <a:gd name="connsiteY14" fmla="*/ 190500 h 486663"/>
            <a:gd name="connsiteX15" fmla="*/ 1657350 w 4476750"/>
            <a:gd name="connsiteY15" fmla="*/ 200025 h 486663"/>
            <a:gd name="connsiteX16" fmla="*/ 1743075 w 4476750"/>
            <a:gd name="connsiteY16" fmla="*/ 171450 h 486663"/>
            <a:gd name="connsiteX17" fmla="*/ 1819275 w 4476750"/>
            <a:gd name="connsiteY17" fmla="*/ 123825 h 486663"/>
            <a:gd name="connsiteX18" fmla="*/ 1876425 w 4476750"/>
            <a:gd name="connsiteY18" fmla="*/ 104775 h 486663"/>
            <a:gd name="connsiteX19" fmla="*/ 1924050 w 4476750"/>
            <a:gd name="connsiteY19" fmla="*/ 57150 h 486663"/>
            <a:gd name="connsiteX20" fmla="*/ 1952625 w 4476750"/>
            <a:gd name="connsiteY20" fmla="*/ 66675 h 486663"/>
            <a:gd name="connsiteX21" fmla="*/ 1981200 w 4476750"/>
            <a:gd name="connsiteY21" fmla="*/ 57150 h 486663"/>
            <a:gd name="connsiteX22" fmla="*/ 2095500 w 4476750"/>
            <a:gd name="connsiteY22" fmla="*/ 85725 h 486663"/>
            <a:gd name="connsiteX23" fmla="*/ 2152650 w 4476750"/>
            <a:gd name="connsiteY23" fmla="*/ 95250 h 486663"/>
            <a:gd name="connsiteX24" fmla="*/ 2181225 w 4476750"/>
            <a:gd name="connsiteY24" fmla="*/ 104775 h 486663"/>
            <a:gd name="connsiteX25" fmla="*/ 2333625 w 4476750"/>
            <a:gd name="connsiteY25" fmla="*/ 114300 h 486663"/>
            <a:gd name="connsiteX26" fmla="*/ 2438400 w 4476750"/>
            <a:gd name="connsiteY26" fmla="*/ 152400 h 486663"/>
            <a:gd name="connsiteX27" fmla="*/ 2486025 w 4476750"/>
            <a:gd name="connsiteY27" fmla="*/ 161925 h 486663"/>
            <a:gd name="connsiteX28" fmla="*/ 2543175 w 4476750"/>
            <a:gd name="connsiteY28" fmla="*/ 171450 h 486663"/>
            <a:gd name="connsiteX29" fmla="*/ 2638425 w 4476750"/>
            <a:gd name="connsiteY29" fmla="*/ 180975 h 486663"/>
            <a:gd name="connsiteX30" fmla="*/ 2657475 w 4476750"/>
            <a:gd name="connsiteY30" fmla="*/ 209550 h 486663"/>
            <a:gd name="connsiteX31" fmla="*/ 2714625 w 4476750"/>
            <a:gd name="connsiteY31" fmla="*/ 257175 h 486663"/>
            <a:gd name="connsiteX32" fmla="*/ 2733675 w 4476750"/>
            <a:gd name="connsiteY32" fmla="*/ 285750 h 486663"/>
            <a:gd name="connsiteX33" fmla="*/ 2771775 w 4476750"/>
            <a:gd name="connsiteY33" fmla="*/ 314325 h 486663"/>
            <a:gd name="connsiteX34" fmla="*/ 2857500 w 4476750"/>
            <a:gd name="connsiteY34" fmla="*/ 361950 h 486663"/>
            <a:gd name="connsiteX35" fmla="*/ 2905125 w 4476750"/>
            <a:gd name="connsiteY35" fmla="*/ 381000 h 486663"/>
            <a:gd name="connsiteX36" fmla="*/ 3000375 w 4476750"/>
            <a:gd name="connsiteY36" fmla="*/ 400050 h 486663"/>
            <a:gd name="connsiteX37" fmla="*/ 3028950 w 4476750"/>
            <a:gd name="connsiteY37" fmla="*/ 409575 h 486663"/>
            <a:gd name="connsiteX38" fmla="*/ 3114675 w 4476750"/>
            <a:gd name="connsiteY38" fmla="*/ 428625 h 486663"/>
            <a:gd name="connsiteX39" fmla="*/ 3209925 w 4476750"/>
            <a:gd name="connsiteY39" fmla="*/ 438150 h 486663"/>
            <a:gd name="connsiteX40" fmla="*/ 3362325 w 4476750"/>
            <a:gd name="connsiteY40" fmla="*/ 457200 h 486663"/>
            <a:gd name="connsiteX41" fmla="*/ 3638550 w 4476750"/>
            <a:gd name="connsiteY41" fmla="*/ 476250 h 486663"/>
            <a:gd name="connsiteX42" fmla="*/ 3781425 w 4476750"/>
            <a:gd name="connsiteY42" fmla="*/ 466725 h 486663"/>
            <a:gd name="connsiteX43" fmla="*/ 3848100 w 4476750"/>
            <a:gd name="connsiteY43" fmla="*/ 438150 h 486663"/>
            <a:gd name="connsiteX44" fmla="*/ 3924300 w 4476750"/>
            <a:gd name="connsiteY44" fmla="*/ 428625 h 486663"/>
            <a:gd name="connsiteX45" fmla="*/ 3962400 w 4476750"/>
            <a:gd name="connsiteY45" fmla="*/ 419100 h 486663"/>
            <a:gd name="connsiteX46" fmla="*/ 4038600 w 4476750"/>
            <a:gd name="connsiteY46" fmla="*/ 390525 h 486663"/>
            <a:gd name="connsiteX47" fmla="*/ 4076700 w 4476750"/>
            <a:gd name="connsiteY47" fmla="*/ 352425 h 486663"/>
            <a:gd name="connsiteX48" fmla="*/ 4114800 w 4476750"/>
            <a:gd name="connsiteY48" fmla="*/ 342900 h 486663"/>
            <a:gd name="connsiteX49" fmla="*/ 4476750 w 4476750"/>
            <a:gd name="connsiteY49" fmla="*/ 352425 h 486663"/>
            <a:gd name="connsiteX0" fmla="*/ 0 w 3771900"/>
            <a:gd name="connsiteY0" fmla="*/ 0 h 467613"/>
            <a:gd name="connsiteX1" fmla="*/ 85725 w 3771900"/>
            <a:gd name="connsiteY1" fmla="*/ 19050 h 467613"/>
            <a:gd name="connsiteX2" fmla="*/ 114300 w 3771900"/>
            <a:gd name="connsiteY2" fmla="*/ 28575 h 467613"/>
            <a:gd name="connsiteX3" fmla="*/ 200025 w 3771900"/>
            <a:gd name="connsiteY3" fmla="*/ 47625 h 467613"/>
            <a:gd name="connsiteX4" fmla="*/ 323850 w 3771900"/>
            <a:gd name="connsiteY4" fmla="*/ 9525 h 467613"/>
            <a:gd name="connsiteX5" fmla="*/ 419100 w 3771900"/>
            <a:gd name="connsiteY5" fmla="*/ 38100 h 467613"/>
            <a:gd name="connsiteX6" fmla="*/ 438150 w 3771900"/>
            <a:gd name="connsiteY6" fmla="*/ 76200 h 467613"/>
            <a:gd name="connsiteX7" fmla="*/ 485775 w 3771900"/>
            <a:gd name="connsiteY7" fmla="*/ 114300 h 467613"/>
            <a:gd name="connsiteX8" fmla="*/ 523875 w 3771900"/>
            <a:gd name="connsiteY8" fmla="*/ 152400 h 467613"/>
            <a:gd name="connsiteX9" fmla="*/ 552450 w 3771900"/>
            <a:gd name="connsiteY9" fmla="*/ 190500 h 467613"/>
            <a:gd name="connsiteX10" fmla="*/ 628650 w 3771900"/>
            <a:gd name="connsiteY10" fmla="*/ 200025 h 467613"/>
            <a:gd name="connsiteX11" fmla="*/ 762000 w 3771900"/>
            <a:gd name="connsiteY11" fmla="*/ 209550 h 467613"/>
            <a:gd name="connsiteX12" fmla="*/ 885825 w 3771900"/>
            <a:gd name="connsiteY12" fmla="*/ 180975 h 467613"/>
            <a:gd name="connsiteX13" fmla="*/ 914400 w 3771900"/>
            <a:gd name="connsiteY13" fmla="*/ 171450 h 467613"/>
            <a:gd name="connsiteX14" fmla="*/ 952500 w 3771900"/>
            <a:gd name="connsiteY14" fmla="*/ 180975 h 467613"/>
            <a:gd name="connsiteX15" fmla="*/ 1038225 w 3771900"/>
            <a:gd name="connsiteY15" fmla="*/ 152400 h 467613"/>
            <a:gd name="connsiteX16" fmla="*/ 1114425 w 3771900"/>
            <a:gd name="connsiteY16" fmla="*/ 104775 h 467613"/>
            <a:gd name="connsiteX17" fmla="*/ 1171575 w 3771900"/>
            <a:gd name="connsiteY17" fmla="*/ 85725 h 467613"/>
            <a:gd name="connsiteX18" fmla="*/ 1219200 w 3771900"/>
            <a:gd name="connsiteY18" fmla="*/ 38100 h 467613"/>
            <a:gd name="connsiteX19" fmla="*/ 1247775 w 3771900"/>
            <a:gd name="connsiteY19" fmla="*/ 47625 h 467613"/>
            <a:gd name="connsiteX20" fmla="*/ 1276350 w 3771900"/>
            <a:gd name="connsiteY20" fmla="*/ 38100 h 467613"/>
            <a:gd name="connsiteX21" fmla="*/ 1390650 w 3771900"/>
            <a:gd name="connsiteY21" fmla="*/ 66675 h 467613"/>
            <a:gd name="connsiteX22" fmla="*/ 1447800 w 3771900"/>
            <a:gd name="connsiteY22" fmla="*/ 76200 h 467613"/>
            <a:gd name="connsiteX23" fmla="*/ 1476375 w 3771900"/>
            <a:gd name="connsiteY23" fmla="*/ 85725 h 467613"/>
            <a:gd name="connsiteX24" fmla="*/ 1628775 w 3771900"/>
            <a:gd name="connsiteY24" fmla="*/ 95250 h 467613"/>
            <a:gd name="connsiteX25" fmla="*/ 1733550 w 3771900"/>
            <a:gd name="connsiteY25" fmla="*/ 133350 h 467613"/>
            <a:gd name="connsiteX26" fmla="*/ 1781175 w 3771900"/>
            <a:gd name="connsiteY26" fmla="*/ 142875 h 467613"/>
            <a:gd name="connsiteX27" fmla="*/ 1838325 w 3771900"/>
            <a:gd name="connsiteY27" fmla="*/ 152400 h 467613"/>
            <a:gd name="connsiteX28" fmla="*/ 1933575 w 3771900"/>
            <a:gd name="connsiteY28" fmla="*/ 161925 h 467613"/>
            <a:gd name="connsiteX29" fmla="*/ 1952625 w 3771900"/>
            <a:gd name="connsiteY29" fmla="*/ 190500 h 467613"/>
            <a:gd name="connsiteX30" fmla="*/ 2009775 w 3771900"/>
            <a:gd name="connsiteY30" fmla="*/ 238125 h 467613"/>
            <a:gd name="connsiteX31" fmla="*/ 2028825 w 3771900"/>
            <a:gd name="connsiteY31" fmla="*/ 266700 h 467613"/>
            <a:gd name="connsiteX32" fmla="*/ 2066925 w 3771900"/>
            <a:gd name="connsiteY32" fmla="*/ 295275 h 467613"/>
            <a:gd name="connsiteX33" fmla="*/ 2152650 w 3771900"/>
            <a:gd name="connsiteY33" fmla="*/ 342900 h 467613"/>
            <a:gd name="connsiteX34" fmla="*/ 2200275 w 3771900"/>
            <a:gd name="connsiteY34" fmla="*/ 361950 h 467613"/>
            <a:gd name="connsiteX35" fmla="*/ 2295525 w 3771900"/>
            <a:gd name="connsiteY35" fmla="*/ 381000 h 467613"/>
            <a:gd name="connsiteX36" fmla="*/ 2324100 w 3771900"/>
            <a:gd name="connsiteY36" fmla="*/ 390525 h 467613"/>
            <a:gd name="connsiteX37" fmla="*/ 2409825 w 3771900"/>
            <a:gd name="connsiteY37" fmla="*/ 409575 h 467613"/>
            <a:gd name="connsiteX38" fmla="*/ 2505075 w 3771900"/>
            <a:gd name="connsiteY38" fmla="*/ 419100 h 467613"/>
            <a:gd name="connsiteX39" fmla="*/ 2657475 w 3771900"/>
            <a:gd name="connsiteY39" fmla="*/ 438150 h 467613"/>
            <a:gd name="connsiteX40" fmla="*/ 2933700 w 3771900"/>
            <a:gd name="connsiteY40" fmla="*/ 457200 h 467613"/>
            <a:gd name="connsiteX41" fmla="*/ 3076575 w 3771900"/>
            <a:gd name="connsiteY41" fmla="*/ 447675 h 467613"/>
            <a:gd name="connsiteX42" fmla="*/ 3143250 w 3771900"/>
            <a:gd name="connsiteY42" fmla="*/ 419100 h 467613"/>
            <a:gd name="connsiteX43" fmla="*/ 3219450 w 3771900"/>
            <a:gd name="connsiteY43" fmla="*/ 409575 h 467613"/>
            <a:gd name="connsiteX44" fmla="*/ 3257550 w 3771900"/>
            <a:gd name="connsiteY44" fmla="*/ 400050 h 467613"/>
            <a:gd name="connsiteX45" fmla="*/ 3333750 w 3771900"/>
            <a:gd name="connsiteY45" fmla="*/ 371475 h 467613"/>
            <a:gd name="connsiteX46" fmla="*/ 3371850 w 3771900"/>
            <a:gd name="connsiteY46" fmla="*/ 333375 h 467613"/>
            <a:gd name="connsiteX47" fmla="*/ 3409950 w 3771900"/>
            <a:gd name="connsiteY47" fmla="*/ 323850 h 467613"/>
            <a:gd name="connsiteX48" fmla="*/ 3771900 w 3771900"/>
            <a:gd name="connsiteY48" fmla="*/ 333375 h 467613"/>
            <a:gd name="connsiteX0" fmla="*/ 0 w 3771900"/>
            <a:gd name="connsiteY0" fmla="*/ 0 h 448652"/>
            <a:gd name="connsiteX1" fmla="*/ 85725 w 3771900"/>
            <a:gd name="connsiteY1" fmla="*/ 19050 h 448652"/>
            <a:gd name="connsiteX2" fmla="*/ 114300 w 3771900"/>
            <a:gd name="connsiteY2" fmla="*/ 28575 h 448652"/>
            <a:gd name="connsiteX3" fmla="*/ 200025 w 3771900"/>
            <a:gd name="connsiteY3" fmla="*/ 47625 h 448652"/>
            <a:gd name="connsiteX4" fmla="*/ 323850 w 3771900"/>
            <a:gd name="connsiteY4" fmla="*/ 9525 h 448652"/>
            <a:gd name="connsiteX5" fmla="*/ 419100 w 3771900"/>
            <a:gd name="connsiteY5" fmla="*/ 38100 h 448652"/>
            <a:gd name="connsiteX6" fmla="*/ 438150 w 3771900"/>
            <a:gd name="connsiteY6" fmla="*/ 76200 h 448652"/>
            <a:gd name="connsiteX7" fmla="*/ 485775 w 3771900"/>
            <a:gd name="connsiteY7" fmla="*/ 114300 h 448652"/>
            <a:gd name="connsiteX8" fmla="*/ 523875 w 3771900"/>
            <a:gd name="connsiteY8" fmla="*/ 152400 h 448652"/>
            <a:gd name="connsiteX9" fmla="*/ 552450 w 3771900"/>
            <a:gd name="connsiteY9" fmla="*/ 190500 h 448652"/>
            <a:gd name="connsiteX10" fmla="*/ 628650 w 3771900"/>
            <a:gd name="connsiteY10" fmla="*/ 200025 h 448652"/>
            <a:gd name="connsiteX11" fmla="*/ 762000 w 3771900"/>
            <a:gd name="connsiteY11" fmla="*/ 209550 h 448652"/>
            <a:gd name="connsiteX12" fmla="*/ 885825 w 3771900"/>
            <a:gd name="connsiteY12" fmla="*/ 180975 h 448652"/>
            <a:gd name="connsiteX13" fmla="*/ 914400 w 3771900"/>
            <a:gd name="connsiteY13" fmla="*/ 171450 h 448652"/>
            <a:gd name="connsiteX14" fmla="*/ 952500 w 3771900"/>
            <a:gd name="connsiteY14" fmla="*/ 180975 h 448652"/>
            <a:gd name="connsiteX15" fmla="*/ 1038225 w 3771900"/>
            <a:gd name="connsiteY15" fmla="*/ 152400 h 448652"/>
            <a:gd name="connsiteX16" fmla="*/ 1114425 w 3771900"/>
            <a:gd name="connsiteY16" fmla="*/ 104775 h 448652"/>
            <a:gd name="connsiteX17" fmla="*/ 1171575 w 3771900"/>
            <a:gd name="connsiteY17" fmla="*/ 85725 h 448652"/>
            <a:gd name="connsiteX18" fmla="*/ 1219200 w 3771900"/>
            <a:gd name="connsiteY18" fmla="*/ 38100 h 448652"/>
            <a:gd name="connsiteX19" fmla="*/ 1247775 w 3771900"/>
            <a:gd name="connsiteY19" fmla="*/ 47625 h 448652"/>
            <a:gd name="connsiteX20" fmla="*/ 1276350 w 3771900"/>
            <a:gd name="connsiteY20" fmla="*/ 38100 h 448652"/>
            <a:gd name="connsiteX21" fmla="*/ 1390650 w 3771900"/>
            <a:gd name="connsiteY21" fmla="*/ 66675 h 448652"/>
            <a:gd name="connsiteX22" fmla="*/ 1447800 w 3771900"/>
            <a:gd name="connsiteY22" fmla="*/ 76200 h 448652"/>
            <a:gd name="connsiteX23" fmla="*/ 1476375 w 3771900"/>
            <a:gd name="connsiteY23" fmla="*/ 85725 h 448652"/>
            <a:gd name="connsiteX24" fmla="*/ 1628775 w 3771900"/>
            <a:gd name="connsiteY24" fmla="*/ 95250 h 448652"/>
            <a:gd name="connsiteX25" fmla="*/ 1733550 w 3771900"/>
            <a:gd name="connsiteY25" fmla="*/ 133350 h 448652"/>
            <a:gd name="connsiteX26" fmla="*/ 1781175 w 3771900"/>
            <a:gd name="connsiteY26" fmla="*/ 142875 h 448652"/>
            <a:gd name="connsiteX27" fmla="*/ 1838325 w 3771900"/>
            <a:gd name="connsiteY27" fmla="*/ 152400 h 448652"/>
            <a:gd name="connsiteX28" fmla="*/ 1933575 w 3771900"/>
            <a:gd name="connsiteY28" fmla="*/ 161925 h 448652"/>
            <a:gd name="connsiteX29" fmla="*/ 1952625 w 3771900"/>
            <a:gd name="connsiteY29" fmla="*/ 190500 h 448652"/>
            <a:gd name="connsiteX30" fmla="*/ 2009775 w 3771900"/>
            <a:gd name="connsiteY30" fmla="*/ 238125 h 448652"/>
            <a:gd name="connsiteX31" fmla="*/ 2028825 w 3771900"/>
            <a:gd name="connsiteY31" fmla="*/ 266700 h 448652"/>
            <a:gd name="connsiteX32" fmla="*/ 2066925 w 3771900"/>
            <a:gd name="connsiteY32" fmla="*/ 295275 h 448652"/>
            <a:gd name="connsiteX33" fmla="*/ 2152650 w 3771900"/>
            <a:gd name="connsiteY33" fmla="*/ 342900 h 448652"/>
            <a:gd name="connsiteX34" fmla="*/ 2200275 w 3771900"/>
            <a:gd name="connsiteY34" fmla="*/ 361950 h 448652"/>
            <a:gd name="connsiteX35" fmla="*/ 2295525 w 3771900"/>
            <a:gd name="connsiteY35" fmla="*/ 381000 h 448652"/>
            <a:gd name="connsiteX36" fmla="*/ 2324100 w 3771900"/>
            <a:gd name="connsiteY36" fmla="*/ 390525 h 448652"/>
            <a:gd name="connsiteX37" fmla="*/ 2409825 w 3771900"/>
            <a:gd name="connsiteY37" fmla="*/ 409575 h 448652"/>
            <a:gd name="connsiteX38" fmla="*/ 2505075 w 3771900"/>
            <a:gd name="connsiteY38" fmla="*/ 419100 h 448652"/>
            <a:gd name="connsiteX39" fmla="*/ 2657475 w 3771900"/>
            <a:gd name="connsiteY39" fmla="*/ 438150 h 448652"/>
            <a:gd name="connsiteX40" fmla="*/ 2939659 w 3771900"/>
            <a:gd name="connsiteY40" fmla="*/ 379368 h 448652"/>
            <a:gd name="connsiteX41" fmla="*/ 3076575 w 3771900"/>
            <a:gd name="connsiteY41" fmla="*/ 447675 h 448652"/>
            <a:gd name="connsiteX42" fmla="*/ 3143250 w 3771900"/>
            <a:gd name="connsiteY42" fmla="*/ 419100 h 448652"/>
            <a:gd name="connsiteX43" fmla="*/ 3219450 w 3771900"/>
            <a:gd name="connsiteY43" fmla="*/ 409575 h 448652"/>
            <a:gd name="connsiteX44" fmla="*/ 3257550 w 3771900"/>
            <a:gd name="connsiteY44" fmla="*/ 400050 h 448652"/>
            <a:gd name="connsiteX45" fmla="*/ 3333750 w 3771900"/>
            <a:gd name="connsiteY45" fmla="*/ 371475 h 448652"/>
            <a:gd name="connsiteX46" fmla="*/ 3371850 w 3771900"/>
            <a:gd name="connsiteY46" fmla="*/ 333375 h 448652"/>
            <a:gd name="connsiteX47" fmla="*/ 3409950 w 3771900"/>
            <a:gd name="connsiteY47" fmla="*/ 323850 h 448652"/>
            <a:gd name="connsiteX48" fmla="*/ 3771900 w 3771900"/>
            <a:gd name="connsiteY48" fmla="*/ 333375 h 448652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43250 w 3771900"/>
            <a:gd name="connsiteY42" fmla="*/ 41910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33750 w 3771900"/>
            <a:gd name="connsiteY44" fmla="*/ 371475 h 439488"/>
            <a:gd name="connsiteX45" fmla="*/ 3371850 w 3771900"/>
            <a:gd name="connsiteY45" fmla="*/ 333375 h 439488"/>
            <a:gd name="connsiteX46" fmla="*/ 3409950 w 3771900"/>
            <a:gd name="connsiteY46" fmla="*/ 323850 h 439488"/>
            <a:gd name="connsiteX47" fmla="*/ 3771900 w 3771900"/>
            <a:gd name="connsiteY47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71850 w 3771900"/>
            <a:gd name="connsiteY44" fmla="*/ 333375 h 439488"/>
            <a:gd name="connsiteX45" fmla="*/ 3409950 w 3771900"/>
            <a:gd name="connsiteY45" fmla="*/ 323850 h 439488"/>
            <a:gd name="connsiteX46" fmla="*/ 3771900 w 3771900"/>
            <a:gd name="connsiteY46" fmla="*/ 333375 h 439488"/>
            <a:gd name="connsiteX0" fmla="*/ 0 w 3409950"/>
            <a:gd name="connsiteY0" fmla="*/ 0 h 439488"/>
            <a:gd name="connsiteX1" fmla="*/ 85725 w 3409950"/>
            <a:gd name="connsiteY1" fmla="*/ 19050 h 439488"/>
            <a:gd name="connsiteX2" fmla="*/ 114300 w 3409950"/>
            <a:gd name="connsiteY2" fmla="*/ 28575 h 439488"/>
            <a:gd name="connsiteX3" fmla="*/ 200025 w 3409950"/>
            <a:gd name="connsiteY3" fmla="*/ 47625 h 439488"/>
            <a:gd name="connsiteX4" fmla="*/ 323850 w 3409950"/>
            <a:gd name="connsiteY4" fmla="*/ 9525 h 439488"/>
            <a:gd name="connsiteX5" fmla="*/ 419100 w 3409950"/>
            <a:gd name="connsiteY5" fmla="*/ 38100 h 439488"/>
            <a:gd name="connsiteX6" fmla="*/ 438150 w 3409950"/>
            <a:gd name="connsiteY6" fmla="*/ 76200 h 439488"/>
            <a:gd name="connsiteX7" fmla="*/ 485775 w 3409950"/>
            <a:gd name="connsiteY7" fmla="*/ 114300 h 439488"/>
            <a:gd name="connsiteX8" fmla="*/ 523875 w 3409950"/>
            <a:gd name="connsiteY8" fmla="*/ 152400 h 439488"/>
            <a:gd name="connsiteX9" fmla="*/ 552450 w 3409950"/>
            <a:gd name="connsiteY9" fmla="*/ 190500 h 439488"/>
            <a:gd name="connsiteX10" fmla="*/ 628650 w 3409950"/>
            <a:gd name="connsiteY10" fmla="*/ 200025 h 439488"/>
            <a:gd name="connsiteX11" fmla="*/ 762000 w 3409950"/>
            <a:gd name="connsiteY11" fmla="*/ 209550 h 439488"/>
            <a:gd name="connsiteX12" fmla="*/ 885825 w 3409950"/>
            <a:gd name="connsiteY12" fmla="*/ 180975 h 439488"/>
            <a:gd name="connsiteX13" fmla="*/ 914400 w 3409950"/>
            <a:gd name="connsiteY13" fmla="*/ 171450 h 439488"/>
            <a:gd name="connsiteX14" fmla="*/ 952500 w 3409950"/>
            <a:gd name="connsiteY14" fmla="*/ 180975 h 439488"/>
            <a:gd name="connsiteX15" fmla="*/ 1038225 w 3409950"/>
            <a:gd name="connsiteY15" fmla="*/ 152400 h 439488"/>
            <a:gd name="connsiteX16" fmla="*/ 1114425 w 3409950"/>
            <a:gd name="connsiteY16" fmla="*/ 104775 h 439488"/>
            <a:gd name="connsiteX17" fmla="*/ 1171575 w 3409950"/>
            <a:gd name="connsiteY17" fmla="*/ 85725 h 439488"/>
            <a:gd name="connsiteX18" fmla="*/ 1219200 w 3409950"/>
            <a:gd name="connsiteY18" fmla="*/ 38100 h 439488"/>
            <a:gd name="connsiteX19" fmla="*/ 1247775 w 3409950"/>
            <a:gd name="connsiteY19" fmla="*/ 47625 h 439488"/>
            <a:gd name="connsiteX20" fmla="*/ 1276350 w 3409950"/>
            <a:gd name="connsiteY20" fmla="*/ 38100 h 439488"/>
            <a:gd name="connsiteX21" fmla="*/ 1390650 w 3409950"/>
            <a:gd name="connsiteY21" fmla="*/ 66675 h 439488"/>
            <a:gd name="connsiteX22" fmla="*/ 1447800 w 3409950"/>
            <a:gd name="connsiteY22" fmla="*/ 76200 h 439488"/>
            <a:gd name="connsiteX23" fmla="*/ 1476375 w 3409950"/>
            <a:gd name="connsiteY23" fmla="*/ 85725 h 439488"/>
            <a:gd name="connsiteX24" fmla="*/ 1628775 w 3409950"/>
            <a:gd name="connsiteY24" fmla="*/ 95250 h 439488"/>
            <a:gd name="connsiteX25" fmla="*/ 1733550 w 3409950"/>
            <a:gd name="connsiteY25" fmla="*/ 133350 h 439488"/>
            <a:gd name="connsiteX26" fmla="*/ 1781175 w 3409950"/>
            <a:gd name="connsiteY26" fmla="*/ 142875 h 439488"/>
            <a:gd name="connsiteX27" fmla="*/ 1838325 w 3409950"/>
            <a:gd name="connsiteY27" fmla="*/ 152400 h 439488"/>
            <a:gd name="connsiteX28" fmla="*/ 1933575 w 3409950"/>
            <a:gd name="connsiteY28" fmla="*/ 161925 h 439488"/>
            <a:gd name="connsiteX29" fmla="*/ 1952625 w 3409950"/>
            <a:gd name="connsiteY29" fmla="*/ 190500 h 439488"/>
            <a:gd name="connsiteX30" fmla="*/ 2009775 w 3409950"/>
            <a:gd name="connsiteY30" fmla="*/ 238125 h 439488"/>
            <a:gd name="connsiteX31" fmla="*/ 2028825 w 3409950"/>
            <a:gd name="connsiteY31" fmla="*/ 266700 h 439488"/>
            <a:gd name="connsiteX32" fmla="*/ 2066925 w 3409950"/>
            <a:gd name="connsiteY32" fmla="*/ 295275 h 439488"/>
            <a:gd name="connsiteX33" fmla="*/ 2152650 w 3409950"/>
            <a:gd name="connsiteY33" fmla="*/ 342900 h 439488"/>
            <a:gd name="connsiteX34" fmla="*/ 2200275 w 3409950"/>
            <a:gd name="connsiteY34" fmla="*/ 361950 h 439488"/>
            <a:gd name="connsiteX35" fmla="*/ 2295525 w 3409950"/>
            <a:gd name="connsiteY35" fmla="*/ 381000 h 439488"/>
            <a:gd name="connsiteX36" fmla="*/ 2324100 w 3409950"/>
            <a:gd name="connsiteY36" fmla="*/ 390525 h 439488"/>
            <a:gd name="connsiteX37" fmla="*/ 2409825 w 3409950"/>
            <a:gd name="connsiteY37" fmla="*/ 409575 h 439488"/>
            <a:gd name="connsiteX38" fmla="*/ 2505075 w 3409950"/>
            <a:gd name="connsiteY38" fmla="*/ 419100 h 439488"/>
            <a:gd name="connsiteX39" fmla="*/ 2657475 w 3409950"/>
            <a:gd name="connsiteY39" fmla="*/ 438150 h 439488"/>
            <a:gd name="connsiteX40" fmla="*/ 2939659 w 3409950"/>
            <a:gd name="connsiteY40" fmla="*/ 379368 h 439488"/>
            <a:gd name="connsiteX41" fmla="*/ 3058699 w 3409950"/>
            <a:gd name="connsiteY41" fmla="*/ 339907 h 439488"/>
            <a:gd name="connsiteX42" fmla="*/ 3179003 w 3409950"/>
            <a:gd name="connsiteY42" fmla="*/ 335280 h 439488"/>
            <a:gd name="connsiteX43" fmla="*/ 3284996 w 3409950"/>
            <a:gd name="connsiteY43" fmla="*/ 325756 h 439488"/>
            <a:gd name="connsiteX44" fmla="*/ 3371850 w 3409950"/>
            <a:gd name="connsiteY44" fmla="*/ 333375 h 439488"/>
            <a:gd name="connsiteX45" fmla="*/ 3409950 w 3409950"/>
            <a:gd name="connsiteY45" fmla="*/ 323850 h 439488"/>
            <a:gd name="connsiteX0" fmla="*/ 0 w 3433785"/>
            <a:gd name="connsiteY0" fmla="*/ 0 h 439488"/>
            <a:gd name="connsiteX1" fmla="*/ 85725 w 3433785"/>
            <a:gd name="connsiteY1" fmla="*/ 19050 h 439488"/>
            <a:gd name="connsiteX2" fmla="*/ 114300 w 3433785"/>
            <a:gd name="connsiteY2" fmla="*/ 28575 h 439488"/>
            <a:gd name="connsiteX3" fmla="*/ 200025 w 3433785"/>
            <a:gd name="connsiteY3" fmla="*/ 47625 h 439488"/>
            <a:gd name="connsiteX4" fmla="*/ 323850 w 3433785"/>
            <a:gd name="connsiteY4" fmla="*/ 9525 h 439488"/>
            <a:gd name="connsiteX5" fmla="*/ 419100 w 3433785"/>
            <a:gd name="connsiteY5" fmla="*/ 38100 h 439488"/>
            <a:gd name="connsiteX6" fmla="*/ 438150 w 3433785"/>
            <a:gd name="connsiteY6" fmla="*/ 76200 h 439488"/>
            <a:gd name="connsiteX7" fmla="*/ 485775 w 3433785"/>
            <a:gd name="connsiteY7" fmla="*/ 114300 h 439488"/>
            <a:gd name="connsiteX8" fmla="*/ 523875 w 3433785"/>
            <a:gd name="connsiteY8" fmla="*/ 152400 h 439488"/>
            <a:gd name="connsiteX9" fmla="*/ 552450 w 3433785"/>
            <a:gd name="connsiteY9" fmla="*/ 190500 h 439488"/>
            <a:gd name="connsiteX10" fmla="*/ 628650 w 3433785"/>
            <a:gd name="connsiteY10" fmla="*/ 200025 h 439488"/>
            <a:gd name="connsiteX11" fmla="*/ 762000 w 3433785"/>
            <a:gd name="connsiteY11" fmla="*/ 209550 h 439488"/>
            <a:gd name="connsiteX12" fmla="*/ 885825 w 3433785"/>
            <a:gd name="connsiteY12" fmla="*/ 180975 h 439488"/>
            <a:gd name="connsiteX13" fmla="*/ 914400 w 3433785"/>
            <a:gd name="connsiteY13" fmla="*/ 171450 h 439488"/>
            <a:gd name="connsiteX14" fmla="*/ 952500 w 3433785"/>
            <a:gd name="connsiteY14" fmla="*/ 180975 h 439488"/>
            <a:gd name="connsiteX15" fmla="*/ 1038225 w 3433785"/>
            <a:gd name="connsiteY15" fmla="*/ 152400 h 439488"/>
            <a:gd name="connsiteX16" fmla="*/ 1114425 w 3433785"/>
            <a:gd name="connsiteY16" fmla="*/ 104775 h 439488"/>
            <a:gd name="connsiteX17" fmla="*/ 1171575 w 3433785"/>
            <a:gd name="connsiteY17" fmla="*/ 85725 h 439488"/>
            <a:gd name="connsiteX18" fmla="*/ 1219200 w 3433785"/>
            <a:gd name="connsiteY18" fmla="*/ 38100 h 439488"/>
            <a:gd name="connsiteX19" fmla="*/ 1247775 w 3433785"/>
            <a:gd name="connsiteY19" fmla="*/ 47625 h 439488"/>
            <a:gd name="connsiteX20" fmla="*/ 1276350 w 3433785"/>
            <a:gd name="connsiteY20" fmla="*/ 38100 h 439488"/>
            <a:gd name="connsiteX21" fmla="*/ 1390650 w 3433785"/>
            <a:gd name="connsiteY21" fmla="*/ 66675 h 439488"/>
            <a:gd name="connsiteX22" fmla="*/ 1447800 w 3433785"/>
            <a:gd name="connsiteY22" fmla="*/ 76200 h 439488"/>
            <a:gd name="connsiteX23" fmla="*/ 1476375 w 3433785"/>
            <a:gd name="connsiteY23" fmla="*/ 85725 h 439488"/>
            <a:gd name="connsiteX24" fmla="*/ 1628775 w 3433785"/>
            <a:gd name="connsiteY24" fmla="*/ 95250 h 439488"/>
            <a:gd name="connsiteX25" fmla="*/ 1733550 w 3433785"/>
            <a:gd name="connsiteY25" fmla="*/ 133350 h 439488"/>
            <a:gd name="connsiteX26" fmla="*/ 1781175 w 3433785"/>
            <a:gd name="connsiteY26" fmla="*/ 142875 h 439488"/>
            <a:gd name="connsiteX27" fmla="*/ 1838325 w 3433785"/>
            <a:gd name="connsiteY27" fmla="*/ 152400 h 439488"/>
            <a:gd name="connsiteX28" fmla="*/ 1933575 w 3433785"/>
            <a:gd name="connsiteY28" fmla="*/ 161925 h 439488"/>
            <a:gd name="connsiteX29" fmla="*/ 1952625 w 3433785"/>
            <a:gd name="connsiteY29" fmla="*/ 190500 h 439488"/>
            <a:gd name="connsiteX30" fmla="*/ 2009775 w 3433785"/>
            <a:gd name="connsiteY30" fmla="*/ 238125 h 439488"/>
            <a:gd name="connsiteX31" fmla="*/ 2028825 w 3433785"/>
            <a:gd name="connsiteY31" fmla="*/ 266700 h 439488"/>
            <a:gd name="connsiteX32" fmla="*/ 2066925 w 3433785"/>
            <a:gd name="connsiteY32" fmla="*/ 295275 h 439488"/>
            <a:gd name="connsiteX33" fmla="*/ 2152650 w 3433785"/>
            <a:gd name="connsiteY33" fmla="*/ 342900 h 439488"/>
            <a:gd name="connsiteX34" fmla="*/ 2200275 w 3433785"/>
            <a:gd name="connsiteY34" fmla="*/ 361950 h 439488"/>
            <a:gd name="connsiteX35" fmla="*/ 2295525 w 3433785"/>
            <a:gd name="connsiteY35" fmla="*/ 381000 h 439488"/>
            <a:gd name="connsiteX36" fmla="*/ 2324100 w 3433785"/>
            <a:gd name="connsiteY36" fmla="*/ 390525 h 439488"/>
            <a:gd name="connsiteX37" fmla="*/ 2409825 w 3433785"/>
            <a:gd name="connsiteY37" fmla="*/ 409575 h 439488"/>
            <a:gd name="connsiteX38" fmla="*/ 2505075 w 3433785"/>
            <a:gd name="connsiteY38" fmla="*/ 419100 h 439488"/>
            <a:gd name="connsiteX39" fmla="*/ 2657475 w 3433785"/>
            <a:gd name="connsiteY39" fmla="*/ 438150 h 439488"/>
            <a:gd name="connsiteX40" fmla="*/ 2939659 w 3433785"/>
            <a:gd name="connsiteY40" fmla="*/ 379368 h 439488"/>
            <a:gd name="connsiteX41" fmla="*/ 3058699 w 3433785"/>
            <a:gd name="connsiteY41" fmla="*/ 339907 h 439488"/>
            <a:gd name="connsiteX42" fmla="*/ 3179003 w 3433785"/>
            <a:gd name="connsiteY42" fmla="*/ 335280 h 439488"/>
            <a:gd name="connsiteX43" fmla="*/ 3284996 w 3433785"/>
            <a:gd name="connsiteY43" fmla="*/ 325756 h 439488"/>
            <a:gd name="connsiteX44" fmla="*/ 3371850 w 3433785"/>
            <a:gd name="connsiteY44" fmla="*/ 333375 h 439488"/>
            <a:gd name="connsiteX45" fmla="*/ 3433785 w 3433785"/>
            <a:gd name="connsiteY45" fmla="*/ 359772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39907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284996 w 3371850"/>
            <a:gd name="connsiteY42" fmla="*/ 325756 h 439488"/>
            <a:gd name="connsiteX43" fmla="*/ 3371850 w 3371850"/>
            <a:gd name="connsiteY43" fmla="*/ 333375 h 439488"/>
            <a:gd name="connsiteX0" fmla="*/ 0 w 3284996"/>
            <a:gd name="connsiteY0" fmla="*/ 0 h 439488"/>
            <a:gd name="connsiteX1" fmla="*/ 85725 w 3284996"/>
            <a:gd name="connsiteY1" fmla="*/ 19050 h 439488"/>
            <a:gd name="connsiteX2" fmla="*/ 114300 w 3284996"/>
            <a:gd name="connsiteY2" fmla="*/ 28575 h 439488"/>
            <a:gd name="connsiteX3" fmla="*/ 200025 w 3284996"/>
            <a:gd name="connsiteY3" fmla="*/ 47625 h 439488"/>
            <a:gd name="connsiteX4" fmla="*/ 323850 w 3284996"/>
            <a:gd name="connsiteY4" fmla="*/ 9525 h 439488"/>
            <a:gd name="connsiteX5" fmla="*/ 419100 w 3284996"/>
            <a:gd name="connsiteY5" fmla="*/ 38100 h 439488"/>
            <a:gd name="connsiteX6" fmla="*/ 438150 w 3284996"/>
            <a:gd name="connsiteY6" fmla="*/ 76200 h 439488"/>
            <a:gd name="connsiteX7" fmla="*/ 485775 w 3284996"/>
            <a:gd name="connsiteY7" fmla="*/ 114300 h 439488"/>
            <a:gd name="connsiteX8" fmla="*/ 523875 w 3284996"/>
            <a:gd name="connsiteY8" fmla="*/ 152400 h 439488"/>
            <a:gd name="connsiteX9" fmla="*/ 552450 w 3284996"/>
            <a:gd name="connsiteY9" fmla="*/ 190500 h 439488"/>
            <a:gd name="connsiteX10" fmla="*/ 628650 w 3284996"/>
            <a:gd name="connsiteY10" fmla="*/ 200025 h 439488"/>
            <a:gd name="connsiteX11" fmla="*/ 762000 w 3284996"/>
            <a:gd name="connsiteY11" fmla="*/ 209550 h 439488"/>
            <a:gd name="connsiteX12" fmla="*/ 885825 w 3284996"/>
            <a:gd name="connsiteY12" fmla="*/ 180975 h 439488"/>
            <a:gd name="connsiteX13" fmla="*/ 914400 w 3284996"/>
            <a:gd name="connsiteY13" fmla="*/ 171450 h 439488"/>
            <a:gd name="connsiteX14" fmla="*/ 952500 w 3284996"/>
            <a:gd name="connsiteY14" fmla="*/ 180975 h 439488"/>
            <a:gd name="connsiteX15" fmla="*/ 1038225 w 3284996"/>
            <a:gd name="connsiteY15" fmla="*/ 152400 h 439488"/>
            <a:gd name="connsiteX16" fmla="*/ 1114425 w 3284996"/>
            <a:gd name="connsiteY16" fmla="*/ 104775 h 439488"/>
            <a:gd name="connsiteX17" fmla="*/ 1171575 w 3284996"/>
            <a:gd name="connsiteY17" fmla="*/ 85725 h 439488"/>
            <a:gd name="connsiteX18" fmla="*/ 1219200 w 3284996"/>
            <a:gd name="connsiteY18" fmla="*/ 38100 h 439488"/>
            <a:gd name="connsiteX19" fmla="*/ 1247775 w 3284996"/>
            <a:gd name="connsiteY19" fmla="*/ 47625 h 439488"/>
            <a:gd name="connsiteX20" fmla="*/ 1276350 w 3284996"/>
            <a:gd name="connsiteY20" fmla="*/ 38100 h 439488"/>
            <a:gd name="connsiteX21" fmla="*/ 1390650 w 3284996"/>
            <a:gd name="connsiteY21" fmla="*/ 66675 h 439488"/>
            <a:gd name="connsiteX22" fmla="*/ 1447800 w 3284996"/>
            <a:gd name="connsiteY22" fmla="*/ 76200 h 439488"/>
            <a:gd name="connsiteX23" fmla="*/ 1476375 w 3284996"/>
            <a:gd name="connsiteY23" fmla="*/ 85725 h 439488"/>
            <a:gd name="connsiteX24" fmla="*/ 1628775 w 3284996"/>
            <a:gd name="connsiteY24" fmla="*/ 95250 h 439488"/>
            <a:gd name="connsiteX25" fmla="*/ 1733550 w 3284996"/>
            <a:gd name="connsiteY25" fmla="*/ 133350 h 439488"/>
            <a:gd name="connsiteX26" fmla="*/ 1781175 w 3284996"/>
            <a:gd name="connsiteY26" fmla="*/ 142875 h 439488"/>
            <a:gd name="connsiteX27" fmla="*/ 1838325 w 3284996"/>
            <a:gd name="connsiteY27" fmla="*/ 152400 h 439488"/>
            <a:gd name="connsiteX28" fmla="*/ 1933575 w 3284996"/>
            <a:gd name="connsiteY28" fmla="*/ 161925 h 439488"/>
            <a:gd name="connsiteX29" fmla="*/ 1952625 w 3284996"/>
            <a:gd name="connsiteY29" fmla="*/ 190500 h 439488"/>
            <a:gd name="connsiteX30" fmla="*/ 2009775 w 3284996"/>
            <a:gd name="connsiteY30" fmla="*/ 238125 h 439488"/>
            <a:gd name="connsiteX31" fmla="*/ 2028825 w 3284996"/>
            <a:gd name="connsiteY31" fmla="*/ 266700 h 439488"/>
            <a:gd name="connsiteX32" fmla="*/ 2066925 w 3284996"/>
            <a:gd name="connsiteY32" fmla="*/ 295275 h 439488"/>
            <a:gd name="connsiteX33" fmla="*/ 2152650 w 3284996"/>
            <a:gd name="connsiteY33" fmla="*/ 342900 h 439488"/>
            <a:gd name="connsiteX34" fmla="*/ 2200275 w 3284996"/>
            <a:gd name="connsiteY34" fmla="*/ 361950 h 439488"/>
            <a:gd name="connsiteX35" fmla="*/ 2295525 w 3284996"/>
            <a:gd name="connsiteY35" fmla="*/ 381000 h 439488"/>
            <a:gd name="connsiteX36" fmla="*/ 2324100 w 3284996"/>
            <a:gd name="connsiteY36" fmla="*/ 390525 h 439488"/>
            <a:gd name="connsiteX37" fmla="*/ 2409825 w 3284996"/>
            <a:gd name="connsiteY37" fmla="*/ 409575 h 439488"/>
            <a:gd name="connsiteX38" fmla="*/ 2505075 w 3284996"/>
            <a:gd name="connsiteY38" fmla="*/ 419100 h 439488"/>
            <a:gd name="connsiteX39" fmla="*/ 2657475 w 3284996"/>
            <a:gd name="connsiteY39" fmla="*/ 438150 h 439488"/>
            <a:gd name="connsiteX40" fmla="*/ 2939659 w 3284996"/>
            <a:gd name="connsiteY40" fmla="*/ 379368 h 439488"/>
            <a:gd name="connsiteX41" fmla="*/ 3058699 w 3284996"/>
            <a:gd name="connsiteY41" fmla="*/ 321946 h 439488"/>
            <a:gd name="connsiteX42" fmla="*/ 3284996 w 3284996"/>
            <a:gd name="connsiteY42" fmla="*/ 325756 h 439488"/>
            <a:gd name="connsiteX0" fmla="*/ 0 w 3243285"/>
            <a:gd name="connsiteY0" fmla="*/ 0 h 439488"/>
            <a:gd name="connsiteX1" fmla="*/ 85725 w 3243285"/>
            <a:gd name="connsiteY1" fmla="*/ 19050 h 439488"/>
            <a:gd name="connsiteX2" fmla="*/ 114300 w 3243285"/>
            <a:gd name="connsiteY2" fmla="*/ 28575 h 439488"/>
            <a:gd name="connsiteX3" fmla="*/ 200025 w 3243285"/>
            <a:gd name="connsiteY3" fmla="*/ 47625 h 439488"/>
            <a:gd name="connsiteX4" fmla="*/ 323850 w 3243285"/>
            <a:gd name="connsiteY4" fmla="*/ 9525 h 439488"/>
            <a:gd name="connsiteX5" fmla="*/ 419100 w 3243285"/>
            <a:gd name="connsiteY5" fmla="*/ 38100 h 439488"/>
            <a:gd name="connsiteX6" fmla="*/ 438150 w 3243285"/>
            <a:gd name="connsiteY6" fmla="*/ 76200 h 439488"/>
            <a:gd name="connsiteX7" fmla="*/ 485775 w 3243285"/>
            <a:gd name="connsiteY7" fmla="*/ 114300 h 439488"/>
            <a:gd name="connsiteX8" fmla="*/ 523875 w 3243285"/>
            <a:gd name="connsiteY8" fmla="*/ 152400 h 439488"/>
            <a:gd name="connsiteX9" fmla="*/ 552450 w 3243285"/>
            <a:gd name="connsiteY9" fmla="*/ 190500 h 439488"/>
            <a:gd name="connsiteX10" fmla="*/ 628650 w 3243285"/>
            <a:gd name="connsiteY10" fmla="*/ 200025 h 439488"/>
            <a:gd name="connsiteX11" fmla="*/ 762000 w 3243285"/>
            <a:gd name="connsiteY11" fmla="*/ 209550 h 439488"/>
            <a:gd name="connsiteX12" fmla="*/ 885825 w 3243285"/>
            <a:gd name="connsiteY12" fmla="*/ 180975 h 439488"/>
            <a:gd name="connsiteX13" fmla="*/ 914400 w 3243285"/>
            <a:gd name="connsiteY13" fmla="*/ 171450 h 439488"/>
            <a:gd name="connsiteX14" fmla="*/ 952500 w 3243285"/>
            <a:gd name="connsiteY14" fmla="*/ 180975 h 439488"/>
            <a:gd name="connsiteX15" fmla="*/ 1038225 w 3243285"/>
            <a:gd name="connsiteY15" fmla="*/ 152400 h 439488"/>
            <a:gd name="connsiteX16" fmla="*/ 1114425 w 3243285"/>
            <a:gd name="connsiteY16" fmla="*/ 104775 h 439488"/>
            <a:gd name="connsiteX17" fmla="*/ 1171575 w 3243285"/>
            <a:gd name="connsiteY17" fmla="*/ 85725 h 439488"/>
            <a:gd name="connsiteX18" fmla="*/ 1219200 w 3243285"/>
            <a:gd name="connsiteY18" fmla="*/ 38100 h 439488"/>
            <a:gd name="connsiteX19" fmla="*/ 1247775 w 3243285"/>
            <a:gd name="connsiteY19" fmla="*/ 47625 h 439488"/>
            <a:gd name="connsiteX20" fmla="*/ 1276350 w 3243285"/>
            <a:gd name="connsiteY20" fmla="*/ 38100 h 439488"/>
            <a:gd name="connsiteX21" fmla="*/ 1390650 w 3243285"/>
            <a:gd name="connsiteY21" fmla="*/ 66675 h 439488"/>
            <a:gd name="connsiteX22" fmla="*/ 1447800 w 3243285"/>
            <a:gd name="connsiteY22" fmla="*/ 76200 h 439488"/>
            <a:gd name="connsiteX23" fmla="*/ 1476375 w 3243285"/>
            <a:gd name="connsiteY23" fmla="*/ 85725 h 439488"/>
            <a:gd name="connsiteX24" fmla="*/ 1628775 w 3243285"/>
            <a:gd name="connsiteY24" fmla="*/ 95250 h 439488"/>
            <a:gd name="connsiteX25" fmla="*/ 1733550 w 3243285"/>
            <a:gd name="connsiteY25" fmla="*/ 133350 h 439488"/>
            <a:gd name="connsiteX26" fmla="*/ 1781175 w 3243285"/>
            <a:gd name="connsiteY26" fmla="*/ 142875 h 439488"/>
            <a:gd name="connsiteX27" fmla="*/ 1838325 w 3243285"/>
            <a:gd name="connsiteY27" fmla="*/ 152400 h 439488"/>
            <a:gd name="connsiteX28" fmla="*/ 1933575 w 3243285"/>
            <a:gd name="connsiteY28" fmla="*/ 161925 h 439488"/>
            <a:gd name="connsiteX29" fmla="*/ 1952625 w 3243285"/>
            <a:gd name="connsiteY29" fmla="*/ 190500 h 439488"/>
            <a:gd name="connsiteX30" fmla="*/ 2009775 w 3243285"/>
            <a:gd name="connsiteY30" fmla="*/ 238125 h 439488"/>
            <a:gd name="connsiteX31" fmla="*/ 2028825 w 3243285"/>
            <a:gd name="connsiteY31" fmla="*/ 266700 h 439488"/>
            <a:gd name="connsiteX32" fmla="*/ 2066925 w 3243285"/>
            <a:gd name="connsiteY32" fmla="*/ 295275 h 439488"/>
            <a:gd name="connsiteX33" fmla="*/ 2152650 w 3243285"/>
            <a:gd name="connsiteY33" fmla="*/ 342900 h 439488"/>
            <a:gd name="connsiteX34" fmla="*/ 2200275 w 3243285"/>
            <a:gd name="connsiteY34" fmla="*/ 361950 h 439488"/>
            <a:gd name="connsiteX35" fmla="*/ 2295525 w 3243285"/>
            <a:gd name="connsiteY35" fmla="*/ 381000 h 439488"/>
            <a:gd name="connsiteX36" fmla="*/ 2324100 w 3243285"/>
            <a:gd name="connsiteY36" fmla="*/ 390525 h 439488"/>
            <a:gd name="connsiteX37" fmla="*/ 2409825 w 3243285"/>
            <a:gd name="connsiteY37" fmla="*/ 409575 h 439488"/>
            <a:gd name="connsiteX38" fmla="*/ 2505075 w 3243285"/>
            <a:gd name="connsiteY38" fmla="*/ 419100 h 439488"/>
            <a:gd name="connsiteX39" fmla="*/ 2657475 w 3243285"/>
            <a:gd name="connsiteY39" fmla="*/ 438150 h 439488"/>
            <a:gd name="connsiteX40" fmla="*/ 2939659 w 3243285"/>
            <a:gd name="connsiteY40" fmla="*/ 379368 h 439488"/>
            <a:gd name="connsiteX41" fmla="*/ 3058699 w 3243285"/>
            <a:gd name="connsiteY41" fmla="*/ 321946 h 439488"/>
            <a:gd name="connsiteX42" fmla="*/ 3243285 w 3243285"/>
            <a:gd name="connsiteY42" fmla="*/ 319769 h 439488"/>
            <a:gd name="connsiteX0" fmla="*/ 0 w 3225409"/>
            <a:gd name="connsiteY0" fmla="*/ 0 h 439488"/>
            <a:gd name="connsiteX1" fmla="*/ 85725 w 3225409"/>
            <a:gd name="connsiteY1" fmla="*/ 19050 h 439488"/>
            <a:gd name="connsiteX2" fmla="*/ 114300 w 3225409"/>
            <a:gd name="connsiteY2" fmla="*/ 28575 h 439488"/>
            <a:gd name="connsiteX3" fmla="*/ 200025 w 3225409"/>
            <a:gd name="connsiteY3" fmla="*/ 47625 h 439488"/>
            <a:gd name="connsiteX4" fmla="*/ 323850 w 3225409"/>
            <a:gd name="connsiteY4" fmla="*/ 9525 h 439488"/>
            <a:gd name="connsiteX5" fmla="*/ 419100 w 3225409"/>
            <a:gd name="connsiteY5" fmla="*/ 38100 h 439488"/>
            <a:gd name="connsiteX6" fmla="*/ 438150 w 3225409"/>
            <a:gd name="connsiteY6" fmla="*/ 76200 h 439488"/>
            <a:gd name="connsiteX7" fmla="*/ 485775 w 3225409"/>
            <a:gd name="connsiteY7" fmla="*/ 114300 h 439488"/>
            <a:gd name="connsiteX8" fmla="*/ 523875 w 3225409"/>
            <a:gd name="connsiteY8" fmla="*/ 152400 h 439488"/>
            <a:gd name="connsiteX9" fmla="*/ 552450 w 3225409"/>
            <a:gd name="connsiteY9" fmla="*/ 190500 h 439488"/>
            <a:gd name="connsiteX10" fmla="*/ 628650 w 3225409"/>
            <a:gd name="connsiteY10" fmla="*/ 200025 h 439488"/>
            <a:gd name="connsiteX11" fmla="*/ 762000 w 3225409"/>
            <a:gd name="connsiteY11" fmla="*/ 209550 h 439488"/>
            <a:gd name="connsiteX12" fmla="*/ 885825 w 3225409"/>
            <a:gd name="connsiteY12" fmla="*/ 180975 h 439488"/>
            <a:gd name="connsiteX13" fmla="*/ 914400 w 3225409"/>
            <a:gd name="connsiteY13" fmla="*/ 171450 h 439488"/>
            <a:gd name="connsiteX14" fmla="*/ 952500 w 3225409"/>
            <a:gd name="connsiteY14" fmla="*/ 180975 h 439488"/>
            <a:gd name="connsiteX15" fmla="*/ 1038225 w 3225409"/>
            <a:gd name="connsiteY15" fmla="*/ 152400 h 439488"/>
            <a:gd name="connsiteX16" fmla="*/ 1114425 w 3225409"/>
            <a:gd name="connsiteY16" fmla="*/ 104775 h 439488"/>
            <a:gd name="connsiteX17" fmla="*/ 1171575 w 3225409"/>
            <a:gd name="connsiteY17" fmla="*/ 85725 h 439488"/>
            <a:gd name="connsiteX18" fmla="*/ 1219200 w 3225409"/>
            <a:gd name="connsiteY18" fmla="*/ 38100 h 439488"/>
            <a:gd name="connsiteX19" fmla="*/ 1247775 w 3225409"/>
            <a:gd name="connsiteY19" fmla="*/ 47625 h 439488"/>
            <a:gd name="connsiteX20" fmla="*/ 1276350 w 3225409"/>
            <a:gd name="connsiteY20" fmla="*/ 38100 h 439488"/>
            <a:gd name="connsiteX21" fmla="*/ 1390650 w 3225409"/>
            <a:gd name="connsiteY21" fmla="*/ 66675 h 439488"/>
            <a:gd name="connsiteX22" fmla="*/ 1447800 w 3225409"/>
            <a:gd name="connsiteY22" fmla="*/ 76200 h 439488"/>
            <a:gd name="connsiteX23" fmla="*/ 1476375 w 3225409"/>
            <a:gd name="connsiteY23" fmla="*/ 85725 h 439488"/>
            <a:gd name="connsiteX24" fmla="*/ 1628775 w 3225409"/>
            <a:gd name="connsiteY24" fmla="*/ 95250 h 439488"/>
            <a:gd name="connsiteX25" fmla="*/ 1733550 w 3225409"/>
            <a:gd name="connsiteY25" fmla="*/ 133350 h 439488"/>
            <a:gd name="connsiteX26" fmla="*/ 1781175 w 3225409"/>
            <a:gd name="connsiteY26" fmla="*/ 142875 h 439488"/>
            <a:gd name="connsiteX27" fmla="*/ 1838325 w 3225409"/>
            <a:gd name="connsiteY27" fmla="*/ 152400 h 439488"/>
            <a:gd name="connsiteX28" fmla="*/ 1933575 w 3225409"/>
            <a:gd name="connsiteY28" fmla="*/ 161925 h 439488"/>
            <a:gd name="connsiteX29" fmla="*/ 1952625 w 3225409"/>
            <a:gd name="connsiteY29" fmla="*/ 190500 h 439488"/>
            <a:gd name="connsiteX30" fmla="*/ 2009775 w 3225409"/>
            <a:gd name="connsiteY30" fmla="*/ 238125 h 439488"/>
            <a:gd name="connsiteX31" fmla="*/ 2028825 w 3225409"/>
            <a:gd name="connsiteY31" fmla="*/ 266700 h 439488"/>
            <a:gd name="connsiteX32" fmla="*/ 2066925 w 3225409"/>
            <a:gd name="connsiteY32" fmla="*/ 295275 h 439488"/>
            <a:gd name="connsiteX33" fmla="*/ 2152650 w 3225409"/>
            <a:gd name="connsiteY33" fmla="*/ 342900 h 439488"/>
            <a:gd name="connsiteX34" fmla="*/ 2200275 w 3225409"/>
            <a:gd name="connsiteY34" fmla="*/ 361950 h 439488"/>
            <a:gd name="connsiteX35" fmla="*/ 2295525 w 3225409"/>
            <a:gd name="connsiteY35" fmla="*/ 381000 h 439488"/>
            <a:gd name="connsiteX36" fmla="*/ 2324100 w 3225409"/>
            <a:gd name="connsiteY36" fmla="*/ 390525 h 439488"/>
            <a:gd name="connsiteX37" fmla="*/ 2409825 w 3225409"/>
            <a:gd name="connsiteY37" fmla="*/ 409575 h 439488"/>
            <a:gd name="connsiteX38" fmla="*/ 2505075 w 3225409"/>
            <a:gd name="connsiteY38" fmla="*/ 419100 h 439488"/>
            <a:gd name="connsiteX39" fmla="*/ 2657475 w 3225409"/>
            <a:gd name="connsiteY39" fmla="*/ 438150 h 439488"/>
            <a:gd name="connsiteX40" fmla="*/ 2939659 w 3225409"/>
            <a:gd name="connsiteY40" fmla="*/ 379368 h 439488"/>
            <a:gd name="connsiteX41" fmla="*/ 3058699 w 3225409"/>
            <a:gd name="connsiteY41" fmla="*/ 321946 h 439488"/>
            <a:gd name="connsiteX42" fmla="*/ 3225409 w 3225409"/>
            <a:gd name="connsiteY42" fmla="*/ 331743 h 439488"/>
            <a:gd name="connsiteX0" fmla="*/ 0 w 3249244"/>
            <a:gd name="connsiteY0" fmla="*/ 0 h 439488"/>
            <a:gd name="connsiteX1" fmla="*/ 85725 w 3249244"/>
            <a:gd name="connsiteY1" fmla="*/ 19050 h 439488"/>
            <a:gd name="connsiteX2" fmla="*/ 114300 w 3249244"/>
            <a:gd name="connsiteY2" fmla="*/ 28575 h 439488"/>
            <a:gd name="connsiteX3" fmla="*/ 200025 w 3249244"/>
            <a:gd name="connsiteY3" fmla="*/ 47625 h 439488"/>
            <a:gd name="connsiteX4" fmla="*/ 323850 w 3249244"/>
            <a:gd name="connsiteY4" fmla="*/ 9525 h 439488"/>
            <a:gd name="connsiteX5" fmla="*/ 419100 w 3249244"/>
            <a:gd name="connsiteY5" fmla="*/ 38100 h 439488"/>
            <a:gd name="connsiteX6" fmla="*/ 438150 w 3249244"/>
            <a:gd name="connsiteY6" fmla="*/ 76200 h 439488"/>
            <a:gd name="connsiteX7" fmla="*/ 485775 w 3249244"/>
            <a:gd name="connsiteY7" fmla="*/ 114300 h 439488"/>
            <a:gd name="connsiteX8" fmla="*/ 523875 w 3249244"/>
            <a:gd name="connsiteY8" fmla="*/ 152400 h 439488"/>
            <a:gd name="connsiteX9" fmla="*/ 552450 w 3249244"/>
            <a:gd name="connsiteY9" fmla="*/ 190500 h 439488"/>
            <a:gd name="connsiteX10" fmla="*/ 628650 w 3249244"/>
            <a:gd name="connsiteY10" fmla="*/ 200025 h 439488"/>
            <a:gd name="connsiteX11" fmla="*/ 762000 w 3249244"/>
            <a:gd name="connsiteY11" fmla="*/ 209550 h 439488"/>
            <a:gd name="connsiteX12" fmla="*/ 885825 w 3249244"/>
            <a:gd name="connsiteY12" fmla="*/ 180975 h 439488"/>
            <a:gd name="connsiteX13" fmla="*/ 914400 w 3249244"/>
            <a:gd name="connsiteY13" fmla="*/ 171450 h 439488"/>
            <a:gd name="connsiteX14" fmla="*/ 952500 w 3249244"/>
            <a:gd name="connsiteY14" fmla="*/ 180975 h 439488"/>
            <a:gd name="connsiteX15" fmla="*/ 1038225 w 3249244"/>
            <a:gd name="connsiteY15" fmla="*/ 152400 h 439488"/>
            <a:gd name="connsiteX16" fmla="*/ 1114425 w 3249244"/>
            <a:gd name="connsiteY16" fmla="*/ 104775 h 439488"/>
            <a:gd name="connsiteX17" fmla="*/ 1171575 w 3249244"/>
            <a:gd name="connsiteY17" fmla="*/ 85725 h 439488"/>
            <a:gd name="connsiteX18" fmla="*/ 1219200 w 3249244"/>
            <a:gd name="connsiteY18" fmla="*/ 38100 h 439488"/>
            <a:gd name="connsiteX19" fmla="*/ 1247775 w 3249244"/>
            <a:gd name="connsiteY19" fmla="*/ 47625 h 439488"/>
            <a:gd name="connsiteX20" fmla="*/ 1276350 w 3249244"/>
            <a:gd name="connsiteY20" fmla="*/ 38100 h 439488"/>
            <a:gd name="connsiteX21" fmla="*/ 1390650 w 3249244"/>
            <a:gd name="connsiteY21" fmla="*/ 66675 h 439488"/>
            <a:gd name="connsiteX22" fmla="*/ 1447800 w 3249244"/>
            <a:gd name="connsiteY22" fmla="*/ 76200 h 439488"/>
            <a:gd name="connsiteX23" fmla="*/ 1476375 w 3249244"/>
            <a:gd name="connsiteY23" fmla="*/ 85725 h 439488"/>
            <a:gd name="connsiteX24" fmla="*/ 1628775 w 3249244"/>
            <a:gd name="connsiteY24" fmla="*/ 95250 h 439488"/>
            <a:gd name="connsiteX25" fmla="*/ 1733550 w 3249244"/>
            <a:gd name="connsiteY25" fmla="*/ 133350 h 439488"/>
            <a:gd name="connsiteX26" fmla="*/ 1781175 w 3249244"/>
            <a:gd name="connsiteY26" fmla="*/ 142875 h 439488"/>
            <a:gd name="connsiteX27" fmla="*/ 1838325 w 3249244"/>
            <a:gd name="connsiteY27" fmla="*/ 152400 h 439488"/>
            <a:gd name="connsiteX28" fmla="*/ 1933575 w 3249244"/>
            <a:gd name="connsiteY28" fmla="*/ 161925 h 439488"/>
            <a:gd name="connsiteX29" fmla="*/ 1952625 w 3249244"/>
            <a:gd name="connsiteY29" fmla="*/ 190500 h 439488"/>
            <a:gd name="connsiteX30" fmla="*/ 2009775 w 3249244"/>
            <a:gd name="connsiteY30" fmla="*/ 238125 h 439488"/>
            <a:gd name="connsiteX31" fmla="*/ 2028825 w 3249244"/>
            <a:gd name="connsiteY31" fmla="*/ 266700 h 439488"/>
            <a:gd name="connsiteX32" fmla="*/ 2066925 w 3249244"/>
            <a:gd name="connsiteY32" fmla="*/ 295275 h 439488"/>
            <a:gd name="connsiteX33" fmla="*/ 2152650 w 3249244"/>
            <a:gd name="connsiteY33" fmla="*/ 342900 h 439488"/>
            <a:gd name="connsiteX34" fmla="*/ 2200275 w 3249244"/>
            <a:gd name="connsiteY34" fmla="*/ 361950 h 439488"/>
            <a:gd name="connsiteX35" fmla="*/ 2295525 w 3249244"/>
            <a:gd name="connsiteY35" fmla="*/ 381000 h 439488"/>
            <a:gd name="connsiteX36" fmla="*/ 2324100 w 3249244"/>
            <a:gd name="connsiteY36" fmla="*/ 390525 h 439488"/>
            <a:gd name="connsiteX37" fmla="*/ 2409825 w 3249244"/>
            <a:gd name="connsiteY37" fmla="*/ 409575 h 439488"/>
            <a:gd name="connsiteX38" fmla="*/ 2505075 w 3249244"/>
            <a:gd name="connsiteY38" fmla="*/ 419100 h 439488"/>
            <a:gd name="connsiteX39" fmla="*/ 2657475 w 3249244"/>
            <a:gd name="connsiteY39" fmla="*/ 438150 h 439488"/>
            <a:gd name="connsiteX40" fmla="*/ 2939659 w 3249244"/>
            <a:gd name="connsiteY40" fmla="*/ 379368 h 439488"/>
            <a:gd name="connsiteX41" fmla="*/ 3058699 w 3249244"/>
            <a:gd name="connsiteY41" fmla="*/ 321946 h 439488"/>
            <a:gd name="connsiteX42" fmla="*/ 3249244 w 3249244"/>
            <a:gd name="connsiteY42" fmla="*/ 313781 h 439488"/>
            <a:gd name="connsiteX0" fmla="*/ 0 w 3163519"/>
            <a:gd name="connsiteY0" fmla="*/ 9525 h 429963"/>
            <a:gd name="connsiteX1" fmla="*/ 28575 w 3163519"/>
            <a:gd name="connsiteY1" fmla="*/ 19050 h 429963"/>
            <a:gd name="connsiteX2" fmla="*/ 114300 w 3163519"/>
            <a:gd name="connsiteY2" fmla="*/ 38100 h 429963"/>
            <a:gd name="connsiteX3" fmla="*/ 238125 w 3163519"/>
            <a:gd name="connsiteY3" fmla="*/ 0 h 429963"/>
            <a:gd name="connsiteX4" fmla="*/ 333375 w 3163519"/>
            <a:gd name="connsiteY4" fmla="*/ 28575 h 429963"/>
            <a:gd name="connsiteX5" fmla="*/ 352425 w 3163519"/>
            <a:gd name="connsiteY5" fmla="*/ 66675 h 429963"/>
            <a:gd name="connsiteX6" fmla="*/ 400050 w 3163519"/>
            <a:gd name="connsiteY6" fmla="*/ 104775 h 429963"/>
            <a:gd name="connsiteX7" fmla="*/ 438150 w 3163519"/>
            <a:gd name="connsiteY7" fmla="*/ 142875 h 429963"/>
            <a:gd name="connsiteX8" fmla="*/ 466725 w 3163519"/>
            <a:gd name="connsiteY8" fmla="*/ 180975 h 429963"/>
            <a:gd name="connsiteX9" fmla="*/ 542925 w 3163519"/>
            <a:gd name="connsiteY9" fmla="*/ 190500 h 429963"/>
            <a:gd name="connsiteX10" fmla="*/ 676275 w 3163519"/>
            <a:gd name="connsiteY10" fmla="*/ 200025 h 429963"/>
            <a:gd name="connsiteX11" fmla="*/ 800100 w 3163519"/>
            <a:gd name="connsiteY11" fmla="*/ 171450 h 429963"/>
            <a:gd name="connsiteX12" fmla="*/ 828675 w 3163519"/>
            <a:gd name="connsiteY12" fmla="*/ 161925 h 429963"/>
            <a:gd name="connsiteX13" fmla="*/ 866775 w 3163519"/>
            <a:gd name="connsiteY13" fmla="*/ 171450 h 429963"/>
            <a:gd name="connsiteX14" fmla="*/ 952500 w 3163519"/>
            <a:gd name="connsiteY14" fmla="*/ 142875 h 429963"/>
            <a:gd name="connsiteX15" fmla="*/ 1028700 w 3163519"/>
            <a:gd name="connsiteY15" fmla="*/ 95250 h 429963"/>
            <a:gd name="connsiteX16" fmla="*/ 1085850 w 3163519"/>
            <a:gd name="connsiteY16" fmla="*/ 76200 h 429963"/>
            <a:gd name="connsiteX17" fmla="*/ 1133475 w 3163519"/>
            <a:gd name="connsiteY17" fmla="*/ 28575 h 429963"/>
            <a:gd name="connsiteX18" fmla="*/ 1162050 w 3163519"/>
            <a:gd name="connsiteY18" fmla="*/ 38100 h 429963"/>
            <a:gd name="connsiteX19" fmla="*/ 1190625 w 3163519"/>
            <a:gd name="connsiteY19" fmla="*/ 28575 h 429963"/>
            <a:gd name="connsiteX20" fmla="*/ 1304925 w 3163519"/>
            <a:gd name="connsiteY20" fmla="*/ 57150 h 429963"/>
            <a:gd name="connsiteX21" fmla="*/ 1362075 w 3163519"/>
            <a:gd name="connsiteY21" fmla="*/ 66675 h 429963"/>
            <a:gd name="connsiteX22" fmla="*/ 1390650 w 3163519"/>
            <a:gd name="connsiteY22" fmla="*/ 76200 h 429963"/>
            <a:gd name="connsiteX23" fmla="*/ 1543050 w 3163519"/>
            <a:gd name="connsiteY23" fmla="*/ 85725 h 429963"/>
            <a:gd name="connsiteX24" fmla="*/ 1647825 w 3163519"/>
            <a:gd name="connsiteY24" fmla="*/ 123825 h 429963"/>
            <a:gd name="connsiteX25" fmla="*/ 1695450 w 3163519"/>
            <a:gd name="connsiteY25" fmla="*/ 133350 h 429963"/>
            <a:gd name="connsiteX26" fmla="*/ 1752600 w 3163519"/>
            <a:gd name="connsiteY26" fmla="*/ 142875 h 429963"/>
            <a:gd name="connsiteX27" fmla="*/ 1847850 w 3163519"/>
            <a:gd name="connsiteY27" fmla="*/ 152400 h 429963"/>
            <a:gd name="connsiteX28" fmla="*/ 1866900 w 3163519"/>
            <a:gd name="connsiteY28" fmla="*/ 180975 h 429963"/>
            <a:gd name="connsiteX29" fmla="*/ 1924050 w 3163519"/>
            <a:gd name="connsiteY29" fmla="*/ 228600 h 429963"/>
            <a:gd name="connsiteX30" fmla="*/ 1943100 w 3163519"/>
            <a:gd name="connsiteY30" fmla="*/ 257175 h 429963"/>
            <a:gd name="connsiteX31" fmla="*/ 1981200 w 3163519"/>
            <a:gd name="connsiteY31" fmla="*/ 285750 h 429963"/>
            <a:gd name="connsiteX32" fmla="*/ 2066925 w 3163519"/>
            <a:gd name="connsiteY32" fmla="*/ 333375 h 429963"/>
            <a:gd name="connsiteX33" fmla="*/ 2114550 w 3163519"/>
            <a:gd name="connsiteY33" fmla="*/ 352425 h 429963"/>
            <a:gd name="connsiteX34" fmla="*/ 2209800 w 3163519"/>
            <a:gd name="connsiteY34" fmla="*/ 371475 h 429963"/>
            <a:gd name="connsiteX35" fmla="*/ 2238375 w 3163519"/>
            <a:gd name="connsiteY35" fmla="*/ 381000 h 429963"/>
            <a:gd name="connsiteX36" fmla="*/ 2324100 w 3163519"/>
            <a:gd name="connsiteY36" fmla="*/ 400050 h 429963"/>
            <a:gd name="connsiteX37" fmla="*/ 2419350 w 3163519"/>
            <a:gd name="connsiteY37" fmla="*/ 409575 h 429963"/>
            <a:gd name="connsiteX38" fmla="*/ 2571750 w 3163519"/>
            <a:gd name="connsiteY38" fmla="*/ 428625 h 429963"/>
            <a:gd name="connsiteX39" fmla="*/ 2853934 w 3163519"/>
            <a:gd name="connsiteY39" fmla="*/ 369843 h 429963"/>
            <a:gd name="connsiteX40" fmla="*/ 2972974 w 3163519"/>
            <a:gd name="connsiteY40" fmla="*/ 312421 h 429963"/>
            <a:gd name="connsiteX41" fmla="*/ 3163519 w 3163519"/>
            <a:gd name="connsiteY41" fmla="*/ 304256 h 429963"/>
            <a:gd name="connsiteX0" fmla="*/ 0 w 3134944"/>
            <a:gd name="connsiteY0" fmla="*/ 19050 h 429963"/>
            <a:gd name="connsiteX1" fmla="*/ 85725 w 3134944"/>
            <a:gd name="connsiteY1" fmla="*/ 38100 h 429963"/>
            <a:gd name="connsiteX2" fmla="*/ 209550 w 3134944"/>
            <a:gd name="connsiteY2" fmla="*/ 0 h 429963"/>
            <a:gd name="connsiteX3" fmla="*/ 304800 w 3134944"/>
            <a:gd name="connsiteY3" fmla="*/ 28575 h 429963"/>
            <a:gd name="connsiteX4" fmla="*/ 323850 w 3134944"/>
            <a:gd name="connsiteY4" fmla="*/ 66675 h 429963"/>
            <a:gd name="connsiteX5" fmla="*/ 371475 w 3134944"/>
            <a:gd name="connsiteY5" fmla="*/ 104775 h 429963"/>
            <a:gd name="connsiteX6" fmla="*/ 409575 w 3134944"/>
            <a:gd name="connsiteY6" fmla="*/ 142875 h 429963"/>
            <a:gd name="connsiteX7" fmla="*/ 438150 w 3134944"/>
            <a:gd name="connsiteY7" fmla="*/ 180975 h 429963"/>
            <a:gd name="connsiteX8" fmla="*/ 514350 w 3134944"/>
            <a:gd name="connsiteY8" fmla="*/ 190500 h 429963"/>
            <a:gd name="connsiteX9" fmla="*/ 647700 w 3134944"/>
            <a:gd name="connsiteY9" fmla="*/ 200025 h 429963"/>
            <a:gd name="connsiteX10" fmla="*/ 771525 w 3134944"/>
            <a:gd name="connsiteY10" fmla="*/ 171450 h 429963"/>
            <a:gd name="connsiteX11" fmla="*/ 800100 w 3134944"/>
            <a:gd name="connsiteY11" fmla="*/ 161925 h 429963"/>
            <a:gd name="connsiteX12" fmla="*/ 838200 w 3134944"/>
            <a:gd name="connsiteY12" fmla="*/ 171450 h 429963"/>
            <a:gd name="connsiteX13" fmla="*/ 923925 w 3134944"/>
            <a:gd name="connsiteY13" fmla="*/ 142875 h 429963"/>
            <a:gd name="connsiteX14" fmla="*/ 1000125 w 3134944"/>
            <a:gd name="connsiteY14" fmla="*/ 95250 h 429963"/>
            <a:gd name="connsiteX15" fmla="*/ 1057275 w 3134944"/>
            <a:gd name="connsiteY15" fmla="*/ 76200 h 429963"/>
            <a:gd name="connsiteX16" fmla="*/ 1104900 w 3134944"/>
            <a:gd name="connsiteY16" fmla="*/ 28575 h 429963"/>
            <a:gd name="connsiteX17" fmla="*/ 1133475 w 3134944"/>
            <a:gd name="connsiteY17" fmla="*/ 38100 h 429963"/>
            <a:gd name="connsiteX18" fmla="*/ 1162050 w 3134944"/>
            <a:gd name="connsiteY18" fmla="*/ 28575 h 429963"/>
            <a:gd name="connsiteX19" fmla="*/ 1276350 w 3134944"/>
            <a:gd name="connsiteY19" fmla="*/ 57150 h 429963"/>
            <a:gd name="connsiteX20" fmla="*/ 1333500 w 3134944"/>
            <a:gd name="connsiteY20" fmla="*/ 66675 h 429963"/>
            <a:gd name="connsiteX21" fmla="*/ 1362075 w 3134944"/>
            <a:gd name="connsiteY21" fmla="*/ 76200 h 429963"/>
            <a:gd name="connsiteX22" fmla="*/ 1514475 w 3134944"/>
            <a:gd name="connsiteY22" fmla="*/ 85725 h 429963"/>
            <a:gd name="connsiteX23" fmla="*/ 1619250 w 3134944"/>
            <a:gd name="connsiteY23" fmla="*/ 123825 h 429963"/>
            <a:gd name="connsiteX24" fmla="*/ 1666875 w 3134944"/>
            <a:gd name="connsiteY24" fmla="*/ 133350 h 429963"/>
            <a:gd name="connsiteX25" fmla="*/ 1724025 w 3134944"/>
            <a:gd name="connsiteY25" fmla="*/ 142875 h 429963"/>
            <a:gd name="connsiteX26" fmla="*/ 1819275 w 3134944"/>
            <a:gd name="connsiteY26" fmla="*/ 152400 h 429963"/>
            <a:gd name="connsiteX27" fmla="*/ 1838325 w 3134944"/>
            <a:gd name="connsiteY27" fmla="*/ 180975 h 429963"/>
            <a:gd name="connsiteX28" fmla="*/ 1895475 w 3134944"/>
            <a:gd name="connsiteY28" fmla="*/ 228600 h 429963"/>
            <a:gd name="connsiteX29" fmla="*/ 1914525 w 3134944"/>
            <a:gd name="connsiteY29" fmla="*/ 257175 h 429963"/>
            <a:gd name="connsiteX30" fmla="*/ 1952625 w 3134944"/>
            <a:gd name="connsiteY30" fmla="*/ 285750 h 429963"/>
            <a:gd name="connsiteX31" fmla="*/ 2038350 w 3134944"/>
            <a:gd name="connsiteY31" fmla="*/ 333375 h 429963"/>
            <a:gd name="connsiteX32" fmla="*/ 2085975 w 3134944"/>
            <a:gd name="connsiteY32" fmla="*/ 352425 h 429963"/>
            <a:gd name="connsiteX33" fmla="*/ 2181225 w 3134944"/>
            <a:gd name="connsiteY33" fmla="*/ 371475 h 429963"/>
            <a:gd name="connsiteX34" fmla="*/ 2209800 w 3134944"/>
            <a:gd name="connsiteY34" fmla="*/ 381000 h 429963"/>
            <a:gd name="connsiteX35" fmla="*/ 2295525 w 3134944"/>
            <a:gd name="connsiteY35" fmla="*/ 400050 h 429963"/>
            <a:gd name="connsiteX36" fmla="*/ 2390775 w 3134944"/>
            <a:gd name="connsiteY36" fmla="*/ 409575 h 429963"/>
            <a:gd name="connsiteX37" fmla="*/ 2543175 w 3134944"/>
            <a:gd name="connsiteY37" fmla="*/ 428625 h 429963"/>
            <a:gd name="connsiteX38" fmla="*/ 2825359 w 3134944"/>
            <a:gd name="connsiteY38" fmla="*/ 369843 h 429963"/>
            <a:gd name="connsiteX39" fmla="*/ 2944399 w 3134944"/>
            <a:gd name="connsiteY39" fmla="*/ 312421 h 429963"/>
            <a:gd name="connsiteX40" fmla="*/ 3134944 w 3134944"/>
            <a:gd name="connsiteY40" fmla="*/ 304256 h 429963"/>
            <a:gd name="connsiteX0" fmla="*/ 0 w 3134944"/>
            <a:gd name="connsiteY0" fmla="*/ 19156 h 430069"/>
            <a:gd name="connsiteX1" fmla="*/ 209550 w 3134944"/>
            <a:gd name="connsiteY1" fmla="*/ 106 h 430069"/>
            <a:gd name="connsiteX2" fmla="*/ 304800 w 3134944"/>
            <a:gd name="connsiteY2" fmla="*/ 28681 h 430069"/>
            <a:gd name="connsiteX3" fmla="*/ 323850 w 3134944"/>
            <a:gd name="connsiteY3" fmla="*/ 66781 h 430069"/>
            <a:gd name="connsiteX4" fmla="*/ 371475 w 3134944"/>
            <a:gd name="connsiteY4" fmla="*/ 104881 h 430069"/>
            <a:gd name="connsiteX5" fmla="*/ 409575 w 3134944"/>
            <a:gd name="connsiteY5" fmla="*/ 142981 h 430069"/>
            <a:gd name="connsiteX6" fmla="*/ 438150 w 3134944"/>
            <a:gd name="connsiteY6" fmla="*/ 181081 h 430069"/>
            <a:gd name="connsiteX7" fmla="*/ 514350 w 3134944"/>
            <a:gd name="connsiteY7" fmla="*/ 190606 h 430069"/>
            <a:gd name="connsiteX8" fmla="*/ 647700 w 3134944"/>
            <a:gd name="connsiteY8" fmla="*/ 200131 h 430069"/>
            <a:gd name="connsiteX9" fmla="*/ 771525 w 3134944"/>
            <a:gd name="connsiteY9" fmla="*/ 171556 h 430069"/>
            <a:gd name="connsiteX10" fmla="*/ 800100 w 3134944"/>
            <a:gd name="connsiteY10" fmla="*/ 162031 h 430069"/>
            <a:gd name="connsiteX11" fmla="*/ 838200 w 3134944"/>
            <a:gd name="connsiteY11" fmla="*/ 171556 h 430069"/>
            <a:gd name="connsiteX12" fmla="*/ 923925 w 3134944"/>
            <a:gd name="connsiteY12" fmla="*/ 142981 h 430069"/>
            <a:gd name="connsiteX13" fmla="*/ 1000125 w 3134944"/>
            <a:gd name="connsiteY13" fmla="*/ 95356 h 430069"/>
            <a:gd name="connsiteX14" fmla="*/ 1057275 w 3134944"/>
            <a:gd name="connsiteY14" fmla="*/ 76306 h 430069"/>
            <a:gd name="connsiteX15" fmla="*/ 1104900 w 3134944"/>
            <a:gd name="connsiteY15" fmla="*/ 28681 h 430069"/>
            <a:gd name="connsiteX16" fmla="*/ 1133475 w 3134944"/>
            <a:gd name="connsiteY16" fmla="*/ 38206 h 430069"/>
            <a:gd name="connsiteX17" fmla="*/ 1162050 w 3134944"/>
            <a:gd name="connsiteY17" fmla="*/ 28681 h 430069"/>
            <a:gd name="connsiteX18" fmla="*/ 1276350 w 3134944"/>
            <a:gd name="connsiteY18" fmla="*/ 57256 h 430069"/>
            <a:gd name="connsiteX19" fmla="*/ 1333500 w 3134944"/>
            <a:gd name="connsiteY19" fmla="*/ 66781 h 430069"/>
            <a:gd name="connsiteX20" fmla="*/ 1362075 w 3134944"/>
            <a:gd name="connsiteY20" fmla="*/ 76306 h 430069"/>
            <a:gd name="connsiteX21" fmla="*/ 1514475 w 3134944"/>
            <a:gd name="connsiteY21" fmla="*/ 85831 h 430069"/>
            <a:gd name="connsiteX22" fmla="*/ 1619250 w 3134944"/>
            <a:gd name="connsiteY22" fmla="*/ 123931 h 430069"/>
            <a:gd name="connsiteX23" fmla="*/ 1666875 w 3134944"/>
            <a:gd name="connsiteY23" fmla="*/ 133456 h 430069"/>
            <a:gd name="connsiteX24" fmla="*/ 1724025 w 3134944"/>
            <a:gd name="connsiteY24" fmla="*/ 142981 h 430069"/>
            <a:gd name="connsiteX25" fmla="*/ 1819275 w 3134944"/>
            <a:gd name="connsiteY25" fmla="*/ 152506 h 430069"/>
            <a:gd name="connsiteX26" fmla="*/ 1838325 w 3134944"/>
            <a:gd name="connsiteY26" fmla="*/ 181081 h 430069"/>
            <a:gd name="connsiteX27" fmla="*/ 1895475 w 3134944"/>
            <a:gd name="connsiteY27" fmla="*/ 228706 h 430069"/>
            <a:gd name="connsiteX28" fmla="*/ 1914525 w 3134944"/>
            <a:gd name="connsiteY28" fmla="*/ 257281 h 430069"/>
            <a:gd name="connsiteX29" fmla="*/ 1952625 w 3134944"/>
            <a:gd name="connsiteY29" fmla="*/ 285856 h 430069"/>
            <a:gd name="connsiteX30" fmla="*/ 2038350 w 3134944"/>
            <a:gd name="connsiteY30" fmla="*/ 333481 h 430069"/>
            <a:gd name="connsiteX31" fmla="*/ 2085975 w 3134944"/>
            <a:gd name="connsiteY31" fmla="*/ 352531 h 430069"/>
            <a:gd name="connsiteX32" fmla="*/ 2181225 w 3134944"/>
            <a:gd name="connsiteY32" fmla="*/ 371581 h 430069"/>
            <a:gd name="connsiteX33" fmla="*/ 2209800 w 3134944"/>
            <a:gd name="connsiteY33" fmla="*/ 381106 h 430069"/>
            <a:gd name="connsiteX34" fmla="*/ 2295525 w 3134944"/>
            <a:gd name="connsiteY34" fmla="*/ 400156 h 430069"/>
            <a:gd name="connsiteX35" fmla="*/ 2390775 w 3134944"/>
            <a:gd name="connsiteY35" fmla="*/ 409681 h 430069"/>
            <a:gd name="connsiteX36" fmla="*/ 2543175 w 3134944"/>
            <a:gd name="connsiteY36" fmla="*/ 428731 h 430069"/>
            <a:gd name="connsiteX37" fmla="*/ 2825359 w 3134944"/>
            <a:gd name="connsiteY37" fmla="*/ 369949 h 430069"/>
            <a:gd name="connsiteX38" fmla="*/ 2944399 w 3134944"/>
            <a:gd name="connsiteY38" fmla="*/ 312527 h 430069"/>
            <a:gd name="connsiteX39" fmla="*/ 3134944 w 3134944"/>
            <a:gd name="connsiteY39" fmla="*/ 304362 h 430069"/>
            <a:gd name="connsiteX0" fmla="*/ 0 w 3094599"/>
            <a:gd name="connsiteY0" fmla="*/ 2642 h 431489"/>
            <a:gd name="connsiteX1" fmla="*/ 169205 w 3094599"/>
            <a:gd name="connsiteY1" fmla="*/ 1526 h 431489"/>
            <a:gd name="connsiteX2" fmla="*/ 264455 w 3094599"/>
            <a:gd name="connsiteY2" fmla="*/ 30101 h 431489"/>
            <a:gd name="connsiteX3" fmla="*/ 283505 w 3094599"/>
            <a:gd name="connsiteY3" fmla="*/ 68201 h 431489"/>
            <a:gd name="connsiteX4" fmla="*/ 331130 w 3094599"/>
            <a:gd name="connsiteY4" fmla="*/ 106301 h 431489"/>
            <a:gd name="connsiteX5" fmla="*/ 369230 w 3094599"/>
            <a:gd name="connsiteY5" fmla="*/ 144401 h 431489"/>
            <a:gd name="connsiteX6" fmla="*/ 397805 w 3094599"/>
            <a:gd name="connsiteY6" fmla="*/ 182501 h 431489"/>
            <a:gd name="connsiteX7" fmla="*/ 474005 w 3094599"/>
            <a:gd name="connsiteY7" fmla="*/ 192026 h 431489"/>
            <a:gd name="connsiteX8" fmla="*/ 607355 w 3094599"/>
            <a:gd name="connsiteY8" fmla="*/ 201551 h 431489"/>
            <a:gd name="connsiteX9" fmla="*/ 731180 w 3094599"/>
            <a:gd name="connsiteY9" fmla="*/ 172976 h 431489"/>
            <a:gd name="connsiteX10" fmla="*/ 759755 w 3094599"/>
            <a:gd name="connsiteY10" fmla="*/ 163451 h 431489"/>
            <a:gd name="connsiteX11" fmla="*/ 797855 w 3094599"/>
            <a:gd name="connsiteY11" fmla="*/ 172976 h 431489"/>
            <a:gd name="connsiteX12" fmla="*/ 883580 w 3094599"/>
            <a:gd name="connsiteY12" fmla="*/ 144401 h 431489"/>
            <a:gd name="connsiteX13" fmla="*/ 959780 w 3094599"/>
            <a:gd name="connsiteY13" fmla="*/ 96776 h 431489"/>
            <a:gd name="connsiteX14" fmla="*/ 1016930 w 3094599"/>
            <a:gd name="connsiteY14" fmla="*/ 77726 h 431489"/>
            <a:gd name="connsiteX15" fmla="*/ 1064555 w 3094599"/>
            <a:gd name="connsiteY15" fmla="*/ 30101 h 431489"/>
            <a:gd name="connsiteX16" fmla="*/ 1093130 w 3094599"/>
            <a:gd name="connsiteY16" fmla="*/ 39626 h 431489"/>
            <a:gd name="connsiteX17" fmla="*/ 1121705 w 3094599"/>
            <a:gd name="connsiteY17" fmla="*/ 30101 h 431489"/>
            <a:gd name="connsiteX18" fmla="*/ 1236005 w 3094599"/>
            <a:gd name="connsiteY18" fmla="*/ 58676 h 431489"/>
            <a:gd name="connsiteX19" fmla="*/ 1293155 w 3094599"/>
            <a:gd name="connsiteY19" fmla="*/ 68201 h 431489"/>
            <a:gd name="connsiteX20" fmla="*/ 1321730 w 3094599"/>
            <a:gd name="connsiteY20" fmla="*/ 77726 h 431489"/>
            <a:gd name="connsiteX21" fmla="*/ 1474130 w 3094599"/>
            <a:gd name="connsiteY21" fmla="*/ 87251 h 431489"/>
            <a:gd name="connsiteX22" fmla="*/ 1578905 w 3094599"/>
            <a:gd name="connsiteY22" fmla="*/ 125351 h 431489"/>
            <a:gd name="connsiteX23" fmla="*/ 1626530 w 3094599"/>
            <a:gd name="connsiteY23" fmla="*/ 134876 h 431489"/>
            <a:gd name="connsiteX24" fmla="*/ 1683680 w 3094599"/>
            <a:gd name="connsiteY24" fmla="*/ 144401 h 431489"/>
            <a:gd name="connsiteX25" fmla="*/ 1778930 w 3094599"/>
            <a:gd name="connsiteY25" fmla="*/ 153926 h 431489"/>
            <a:gd name="connsiteX26" fmla="*/ 1797980 w 3094599"/>
            <a:gd name="connsiteY26" fmla="*/ 182501 h 431489"/>
            <a:gd name="connsiteX27" fmla="*/ 1855130 w 3094599"/>
            <a:gd name="connsiteY27" fmla="*/ 230126 h 431489"/>
            <a:gd name="connsiteX28" fmla="*/ 1874180 w 3094599"/>
            <a:gd name="connsiteY28" fmla="*/ 258701 h 431489"/>
            <a:gd name="connsiteX29" fmla="*/ 1912280 w 3094599"/>
            <a:gd name="connsiteY29" fmla="*/ 287276 h 431489"/>
            <a:gd name="connsiteX30" fmla="*/ 1998005 w 3094599"/>
            <a:gd name="connsiteY30" fmla="*/ 334901 h 431489"/>
            <a:gd name="connsiteX31" fmla="*/ 2045630 w 3094599"/>
            <a:gd name="connsiteY31" fmla="*/ 353951 h 431489"/>
            <a:gd name="connsiteX32" fmla="*/ 2140880 w 3094599"/>
            <a:gd name="connsiteY32" fmla="*/ 373001 h 431489"/>
            <a:gd name="connsiteX33" fmla="*/ 2169455 w 3094599"/>
            <a:gd name="connsiteY33" fmla="*/ 382526 h 431489"/>
            <a:gd name="connsiteX34" fmla="*/ 2255180 w 3094599"/>
            <a:gd name="connsiteY34" fmla="*/ 401576 h 431489"/>
            <a:gd name="connsiteX35" fmla="*/ 2350430 w 3094599"/>
            <a:gd name="connsiteY35" fmla="*/ 411101 h 431489"/>
            <a:gd name="connsiteX36" fmla="*/ 2502830 w 3094599"/>
            <a:gd name="connsiteY36" fmla="*/ 430151 h 431489"/>
            <a:gd name="connsiteX37" fmla="*/ 2785014 w 3094599"/>
            <a:gd name="connsiteY37" fmla="*/ 371369 h 431489"/>
            <a:gd name="connsiteX38" fmla="*/ 2904054 w 3094599"/>
            <a:gd name="connsiteY38" fmla="*/ 313947 h 431489"/>
            <a:gd name="connsiteX39" fmla="*/ 3094599 w 3094599"/>
            <a:gd name="connsiteY39" fmla="*/ 305782 h 431489"/>
            <a:gd name="connsiteX0" fmla="*/ 0 w 3069383"/>
            <a:gd name="connsiteY0" fmla="*/ 739 h 441542"/>
            <a:gd name="connsiteX1" fmla="*/ 143989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82791 w 3069383"/>
            <a:gd name="connsiteY28" fmla="*/ 226589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77959 w 3069383"/>
            <a:gd name="connsiteY28" fmla="*/ 200236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88706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59509 w 3069383"/>
            <a:gd name="connsiteY37" fmla="*/ 287106 h 441542"/>
            <a:gd name="connsiteX38" fmla="*/ 3069383 w 3069383"/>
            <a:gd name="connsiteY38" fmla="*/ 315835 h 441542"/>
            <a:gd name="connsiteX0" fmla="*/ 0 w 3069383"/>
            <a:gd name="connsiteY0" fmla="*/ 739 h 441026"/>
            <a:gd name="connsiteX1" fmla="*/ 197146 w 3069383"/>
            <a:gd name="connsiteY1" fmla="*/ 11579 h 441026"/>
            <a:gd name="connsiteX2" fmla="*/ 239239 w 3069383"/>
            <a:gd name="connsiteY2" fmla="*/ 40154 h 441026"/>
            <a:gd name="connsiteX3" fmla="*/ 258289 w 3069383"/>
            <a:gd name="connsiteY3" fmla="*/ 78254 h 441026"/>
            <a:gd name="connsiteX4" fmla="*/ 305914 w 3069383"/>
            <a:gd name="connsiteY4" fmla="*/ 116354 h 441026"/>
            <a:gd name="connsiteX5" fmla="*/ 344014 w 3069383"/>
            <a:gd name="connsiteY5" fmla="*/ 154454 h 441026"/>
            <a:gd name="connsiteX6" fmla="*/ 372589 w 3069383"/>
            <a:gd name="connsiteY6" fmla="*/ 192554 h 441026"/>
            <a:gd name="connsiteX7" fmla="*/ 448789 w 3069383"/>
            <a:gd name="connsiteY7" fmla="*/ 202079 h 441026"/>
            <a:gd name="connsiteX8" fmla="*/ 582139 w 3069383"/>
            <a:gd name="connsiteY8" fmla="*/ 211604 h 441026"/>
            <a:gd name="connsiteX9" fmla="*/ 705964 w 3069383"/>
            <a:gd name="connsiteY9" fmla="*/ 183029 h 441026"/>
            <a:gd name="connsiteX10" fmla="*/ 734539 w 3069383"/>
            <a:gd name="connsiteY10" fmla="*/ 173504 h 441026"/>
            <a:gd name="connsiteX11" fmla="*/ 772639 w 3069383"/>
            <a:gd name="connsiteY11" fmla="*/ 183029 h 441026"/>
            <a:gd name="connsiteX12" fmla="*/ 858364 w 3069383"/>
            <a:gd name="connsiteY12" fmla="*/ 154454 h 441026"/>
            <a:gd name="connsiteX13" fmla="*/ 934564 w 3069383"/>
            <a:gd name="connsiteY13" fmla="*/ 106829 h 441026"/>
            <a:gd name="connsiteX14" fmla="*/ 991714 w 3069383"/>
            <a:gd name="connsiteY14" fmla="*/ 87779 h 441026"/>
            <a:gd name="connsiteX15" fmla="*/ 1039339 w 3069383"/>
            <a:gd name="connsiteY15" fmla="*/ 40154 h 441026"/>
            <a:gd name="connsiteX16" fmla="*/ 1067914 w 3069383"/>
            <a:gd name="connsiteY16" fmla="*/ 49679 h 441026"/>
            <a:gd name="connsiteX17" fmla="*/ 1096489 w 3069383"/>
            <a:gd name="connsiteY17" fmla="*/ 40154 h 441026"/>
            <a:gd name="connsiteX18" fmla="*/ 1210789 w 3069383"/>
            <a:gd name="connsiteY18" fmla="*/ 68729 h 441026"/>
            <a:gd name="connsiteX19" fmla="*/ 1267939 w 3069383"/>
            <a:gd name="connsiteY19" fmla="*/ 78254 h 441026"/>
            <a:gd name="connsiteX20" fmla="*/ 1296514 w 3069383"/>
            <a:gd name="connsiteY20" fmla="*/ 87779 h 441026"/>
            <a:gd name="connsiteX21" fmla="*/ 1448914 w 3069383"/>
            <a:gd name="connsiteY21" fmla="*/ 97304 h 441026"/>
            <a:gd name="connsiteX22" fmla="*/ 1553689 w 3069383"/>
            <a:gd name="connsiteY22" fmla="*/ 135404 h 441026"/>
            <a:gd name="connsiteX23" fmla="*/ 1601314 w 3069383"/>
            <a:gd name="connsiteY23" fmla="*/ 144929 h 441026"/>
            <a:gd name="connsiteX24" fmla="*/ 1658464 w 3069383"/>
            <a:gd name="connsiteY24" fmla="*/ 154454 h 441026"/>
            <a:gd name="connsiteX25" fmla="*/ 1753714 w 3069383"/>
            <a:gd name="connsiteY25" fmla="*/ 163979 h 441026"/>
            <a:gd name="connsiteX26" fmla="*/ 1816256 w 3069383"/>
            <a:gd name="connsiteY26" fmla="*/ 182013 h 441026"/>
            <a:gd name="connsiteX27" fmla="*/ 1877959 w 3069383"/>
            <a:gd name="connsiteY27" fmla="*/ 200236 h 441026"/>
            <a:gd name="connsiteX28" fmla="*/ 1906394 w 3069383"/>
            <a:gd name="connsiteY28" fmla="*/ 297329 h 441026"/>
            <a:gd name="connsiteX29" fmla="*/ 1972789 w 3069383"/>
            <a:gd name="connsiteY29" fmla="*/ 344954 h 441026"/>
            <a:gd name="connsiteX30" fmla="*/ 2020414 w 3069383"/>
            <a:gd name="connsiteY30" fmla="*/ 364004 h 441026"/>
            <a:gd name="connsiteX31" fmla="*/ 2115664 w 3069383"/>
            <a:gd name="connsiteY31" fmla="*/ 383054 h 441026"/>
            <a:gd name="connsiteX32" fmla="*/ 2144239 w 3069383"/>
            <a:gd name="connsiteY32" fmla="*/ 392579 h 441026"/>
            <a:gd name="connsiteX33" fmla="*/ 2229964 w 3069383"/>
            <a:gd name="connsiteY33" fmla="*/ 411629 h 441026"/>
            <a:gd name="connsiteX34" fmla="*/ 2325214 w 3069383"/>
            <a:gd name="connsiteY34" fmla="*/ 421154 h 441026"/>
            <a:gd name="connsiteX35" fmla="*/ 2477614 w 3069383"/>
            <a:gd name="connsiteY35" fmla="*/ 440204 h 441026"/>
            <a:gd name="connsiteX36" fmla="*/ 2692144 w 3069383"/>
            <a:gd name="connsiteY36" fmla="*/ 391963 h 441026"/>
            <a:gd name="connsiteX37" fmla="*/ 2859509 w 3069383"/>
            <a:gd name="connsiteY37" fmla="*/ 287106 h 441026"/>
            <a:gd name="connsiteX38" fmla="*/ 3069383 w 3069383"/>
            <a:gd name="connsiteY38" fmla="*/ 315835 h 441026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59509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72384 w 3069383"/>
            <a:gd name="connsiteY14" fmla="*/ 45614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2872237"/>
            <a:gd name="connsiteY0" fmla="*/ 0 h 429219"/>
            <a:gd name="connsiteX1" fmla="*/ 42093 w 2872237"/>
            <a:gd name="connsiteY1" fmla="*/ 28575 h 429219"/>
            <a:gd name="connsiteX2" fmla="*/ 61143 w 2872237"/>
            <a:gd name="connsiteY2" fmla="*/ 66675 h 429219"/>
            <a:gd name="connsiteX3" fmla="*/ 108768 w 2872237"/>
            <a:gd name="connsiteY3" fmla="*/ 104775 h 429219"/>
            <a:gd name="connsiteX4" fmla="*/ 146868 w 2872237"/>
            <a:gd name="connsiteY4" fmla="*/ 142875 h 429219"/>
            <a:gd name="connsiteX5" fmla="*/ 175443 w 2872237"/>
            <a:gd name="connsiteY5" fmla="*/ 180975 h 429219"/>
            <a:gd name="connsiteX6" fmla="*/ 251643 w 2872237"/>
            <a:gd name="connsiteY6" fmla="*/ 190500 h 429219"/>
            <a:gd name="connsiteX7" fmla="*/ 384993 w 2872237"/>
            <a:gd name="connsiteY7" fmla="*/ 200025 h 429219"/>
            <a:gd name="connsiteX8" fmla="*/ 508818 w 2872237"/>
            <a:gd name="connsiteY8" fmla="*/ 171450 h 429219"/>
            <a:gd name="connsiteX9" fmla="*/ 537393 w 2872237"/>
            <a:gd name="connsiteY9" fmla="*/ 161925 h 429219"/>
            <a:gd name="connsiteX10" fmla="*/ 575493 w 2872237"/>
            <a:gd name="connsiteY10" fmla="*/ 171450 h 429219"/>
            <a:gd name="connsiteX11" fmla="*/ 661218 w 2872237"/>
            <a:gd name="connsiteY11" fmla="*/ 142875 h 429219"/>
            <a:gd name="connsiteX12" fmla="*/ 737418 w 2872237"/>
            <a:gd name="connsiteY12" fmla="*/ 95250 h 429219"/>
            <a:gd name="connsiteX13" fmla="*/ 775238 w 2872237"/>
            <a:gd name="connsiteY13" fmla="*/ 34035 h 429219"/>
            <a:gd name="connsiteX14" fmla="*/ 842193 w 2872237"/>
            <a:gd name="connsiteY14" fmla="*/ 28575 h 429219"/>
            <a:gd name="connsiteX15" fmla="*/ 870768 w 2872237"/>
            <a:gd name="connsiteY15" fmla="*/ 38100 h 429219"/>
            <a:gd name="connsiteX16" fmla="*/ 899343 w 2872237"/>
            <a:gd name="connsiteY16" fmla="*/ 28575 h 429219"/>
            <a:gd name="connsiteX17" fmla="*/ 1013643 w 2872237"/>
            <a:gd name="connsiteY17" fmla="*/ 57150 h 429219"/>
            <a:gd name="connsiteX18" fmla="*/ 1070793 w 2872237"/>
            <a:gd name="connsiteY18" fmla="*/ 66675 h 429219"/>
            <a:gd name="connsiteX19" fmla="*/ 1099368 w 2872237"/>
            <a:gd name="connsiteY19" fmla="*/ 76200 h 429219"/>
            <a:gd name="connsiteX20" fmla="*/ 1251768 w 2872237"/>
            <a:gd name="connsiteY20" fmla="*/ 85725 h 429219"/>
            <a:gd name="connsiteX21" fmla="*/ 1356543 w 2872237"/>
            <a:gd name="connsiteY21" fmla="*/ 123825 h 429219"/>
            <a:gd name="connsiteX22" fmla="*/ 1404168 w 2872237"/>
            <a:gd name="connsiteY22" fmla="*/ 133350 h 429219"/>
            <a:gd name="connsiteX23" fmla="*/ 1461318 w 2872237"/>
            <a:gd name="connsiteY23" fmla="*/ 142875 h 429219"/>
            <a:gd name="connsiteX24" fmla="*/ 1556568 w 2872237"/>
            <a:gd name="connsiteY24" fmla="*/ 152400 h 429219"/>
            <a:gd name="connsiteX25" fmla="*/ 1619110 w 2872237"/>
            <a:gd name="connsiteY25" fmla="*/ 170434 h 429219"/>
            <a:gd name="connsiteX26" fmla="*/ 1680813 w 2872237"/>
            <a:gd name="connsiteY26" fmla="*/ 188657 h 429219"/>
            <a:gd name="connsiteX27" fmla="*/ 1709248 w 2872237"/>
            <a:gd name="connsiteY27" fmla="*/ 285750 h 429219"/>
            <a:gd name="connsiteX28" fmla="*/ 1775643 w 2872237"/>
            <a:gd name="connsiteY28" fmla="*/ 333375 h 429219"/>
            <a:gd name="connsiteX29" fmla="*/ 1823268 w 2872237"/>
            <a:gd name="connsiteY29" fmla="*/ 352425 h 429219"/>
            <a:gd name="connsiteX30" fmla="*/ 1918518 w 2872237"/>
            <a:gd name="connsiteY30" fmla="*/ 371475 h 429219"/>
            <a:gd name="connsiteX31" fmla="*/ 1947093 w 2872237"/>
            <a:gd name="connsiteY31" fmla="*/ 381000 h 429219"/>
            <a:gd name="connsiteX32" fmla="*/ 2032818 w 2872237"/>
            <a:gd name="connsiteY32" fmla="*/ 400050 h 429219"/>
            <a:gd name="connsiteX33" fmla="*/ 2128068 w 2872237"/>
            <a:gd name="connsiteY33" fmla="*/ 409575 h 429219"/>
            <a:gd name="connsiteX34" fmla="*/ 2280468 w 2872237"/>
            <a:gd name="connsiteY34" fmla="*/ 428625 h 429219"/>
            <a:gd name="connsiteX35" fmla="*/ 2514328 w 2872237"/>
            <a:gd name="connsiteY35" fmla="*/ 385655 h 429219"/>
            <a:gd name="connsiteX36" fmla="*/ 2628536 w 2872237"/>
            <a:gd name="connsiteY36" fmla="*/ 275527 h 429219"/>
            <a:gd name="connsiteX37" fmla="*/ 2872237 w 2872237"/>
            <a:gd name="connsiteY37" fmla="*/ 277903 h 429219"/>
            <a:gd name="connsiteX0" fmla="*/ 0 w 2628536"/>
            <a:gd name="connsiteY0" fmla="*/ 0 h 429219"/>
            <a:gd name="connsiteX1" fmla="*/ 42093 w 2628536"/>
            <a:gd name="connsiteY1" fmla="*/ 28575 h 429219"/>
            <a:gd name="connsiteX2" fmla="*/ 61143 w 2628536"/>
            <a:gd name="connsiteY2" fmla="*/ 66675 h 429219"/>
            <a:gd name="connsiteX3" fmla="*/ 108768 w 2628536"/>
            <a:gd name="connsiteY3" fmla="*/ 104775 h 429219"/>
            <a:gd name="connsiteX4" fmla="*/ 146868 w 2628536"/>
            <a:gd name="connsiteY4" fmla="*/ 142875 h 429219"/>
            <a:gd name="connsiteX5" fmla="*/ 175443 w 2628536"/>
            <a:gd name="connsiteY5" fmla="*/ 180975 h 429219"/>
            <a:gd name="connsiteX6" fmla="*/ 251643 w 2628536"/>
            <a:gd name="connsiteY6" fmla="*/ 190500 h 429219"/>
            <a:gd name="connsiteX7" fmla="*/ 384993 w 2628536"/>
            <a:gd name="connsiteY7" fmla="*/ 200025 h 429219"/>
            <a:gd name="connsiteX8" fmla="*/ 508818 w 2628536"/>
            <a:gd name="connsiteY8" fmla="*/ 171450 h 429219"/>
            <a:gd name="connsiteX9" fmla="*/ 537393 w 2628536"/>
            <a:gd name="connsiteY9" fmla="*/ 161925 h 429219"/>
            <a:gd name="connsiteX10" fmla="*/ 575493 w 2628536"/>
            <a:gd name="connsiteY10" fmla="*/ 171450 h 429219"/>
            <a:gd name="connsiteX11" fmla="*/ 661218 w 2628536"/>
            <a:gd name="connsiteY11" fmla="*/ 142875 h 429219"/>
            <a:gd name="connsiteX12" fmla="*/ 737418 w 2628536"/>
            <a:gd name="connsiteY12" fmla="*/ 95250 h 429219"/>
            <a:gd name="connsiteX13" fmla="*/ 775238 w 2628536"/>
            <a:gd name="connsiteY13" fmla="*/ 34035 h 429219"/>
            <a:gd name="connsiteX14" fmla="*/ 842193 w 2628536"/>
            <a:gd name="connsiteY14" fmla="*/ 28575 h 429219"/>
            <a:gd name="connsiteX15" fmla="*/ 870768 w 2628536"/>
            <a:gd name="connsiteY15" fmla="*/ 38100 h 429219"/>
            <a:gd name="connsiteX16" fmla="*/ 899343 w 2628536"/>
            <a:gd name="connsiteY16" fmla="*/ 28575 h 429219"/>
            <a:gd name="connsiteX17" fmla="*/ 1013643 w 2628536"/>
            <a:gd name="connsiteY17" fmla="*/ 57150 h 429219"/>
            <a:gd name="connsiteX18" fmla="*/ 1070793 w 2628536"/>
            <a:gd name="connsiteY18" fmla="*/ 66675 h 429219"/>
            <a:gd name="connsiteX19" fmla="*/ 1099368 w 2628536"/>
            <a:gd name="connsiteY19" fmla="*/ 76200 h 429219"/>
            <a:gd name="connsiteX20" fmla="*/ 1251768 w 2628536"/>
            <a:gd name="connsiteY20" fmla="*/ 85725 h 429219"/>
            <a:gd name="connsiteX21" fmla="*/ 1356543 w 2628536"/>
            <a:gd name="connsiteY21" fmla="*/ 123825 h 429219"/>
            <a:gd name="connsiteX22" fmla="*/ 1404168 w 2628536"/>
            <a:gd name="connsiteY22" fmla="*/ 133350 h 429219"/>
            <a:gd name="connsiteX23" fmla="*/ 1461318 w 2628536"/>
            <a:gd name="connsiteY23" fmla="*/ 142875 h 429219"/>
            <a:gd name="connsiteX24" fmla="*/ 1556568 w 2628536"/>
            <a:gd name="connsiteY24" fmla="*/ 152400 h 429219"/>
            <a:gd name="connsiteX25" fmla="*/ 1619110 w 2628536"/>
            <a:gd name="connsiteY25" fmla="*/ 170434 h 429219"/>
            <a:gd name="connsiteX26" fmla="*/ 1680813 w 2628536"/>
            <a:gd name="connsiteY26" fmla="*/ 188657 h 429219"/>
            <a:gd name="connsiteX27" fmla="*/ 1709248 w 2628536"/>
            <a:gd name="connsiteY27" fmla="*/ 285750 h 429219"/>
            <a:gd name="connsiteX28" fmla="*/ 1775643 w 2628536"/>
            <a:gd name="connsiteY28" fmla="*/ 333375 h 429219"/>
            <a:gd name="connsiteX29" fmla="*/ 1823268 w 2628536"/>
            <a:gd name="connsiteY29" fmla="*/ 352425 h 429219"/>
            <a:gd name="connsiteX30" fmla="*/ 1918518 w 2628536"/>
            <a:gd name="connsiteY30" fmla="*/ 371475 h 429219"/>
            <a:gd name="connsiteX31" fmla="*/ 1947093 w 2628536"/>
            <a:gd name="connsiteY31" fmla="*/ 381000 h 429219"/>
            <a:gd name="connsiteX32" fmla="*/ 2032818 w 2628536"/>
            <a:gd name="connsiteY32" fmla="*/ 400050 h 429219"/>
            <a:gd name="connsiteX33" fmla="*/ 2128068 w 2628536"/>
            <a:gd name="connsiteY33" fmla="*/ 409575 h 429219"/>
            <a:gd name="connsiteX34" fmla="*/ 2280468 w 2628536"/>
            <a:gd name="connsiteY34" fmla="*/ 428625 h 429219"/>
            <a:gd name="connsiteX35" fmla="*/ 2514328 w 2628536"/>
            <a:gd name="connsiteY35" fmla="*/ 385655 h 429219"/>
            <a:gd name="connsiteX36" fmla="*/ 2628536 w 2628536"/>
            <a:gd name="connsiteY36" fmla="*/ 275527 h 4292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628536" h="429219">
              <a:moveTo>
                <a:pt x="0" y="0"/>
              </a:moveTo>
              <a:cubicBezTo>
                <a:pt x="31750" y="9525"/>
                <a:pt x="31903" y="17463"/>
                <a:pt x="42093" y="28575"/>
              </a:cubicBezTo>
              <a:cubicBezTo>
                <a:pt x="52283" y="39687"/>
                <a:pt x="54098" y="54347"/>
                <a:pt x="61143" y="66675"/>
              </a:cubicBezTo>
              <a:cubicBezTo>
                <a:pt x="81418" y="102156"/>
                <a:pt x="73143" y="92900"/>
                <a:pt x="108768" y="104775"/>
              </a:cubicBezTo>
              <a:cubicBezTo>
                <a:pt x="121468" y="117475"/>
                <a:pt x="135041" y="129358"/>
                <a:pt x="146868" y="142875"/>
              </a:cubicBezTo>
              <a:cubicBezTo>
                <a:pt x="157322" y="154822"/>
                <a:pt x="160991" y="174406"/>
                <a:pt x="175443" y="180975"/>
              </a:cubicBezTo>
              <a:cubicBezTo>
                <a:pt x="198746" y="191567"/>
                <a:pt x="226150" y="188182"/>
                <a:pt x="251643" y="190500"/>
              </a:cubicBezTo>
              <a:cubicBezTo>
                <a:pt x="296023" y="194535"/>
                <a:pt x="340543" y="196850"/>
                <a:pt x="384993" y="200025"/>
              </a:cubicBezTo>
              <a:cubicBezTo>
                <a:pt x="471547" y="187660"/>
                <a:pt x="430369" y="197600"/>
                <a:pt x="508818" y="171450"/>
              </a:cubicBezTo>
              <a:lnTo>
                <a:pt x="537393" y="161925"/>
              </a:lnTo>
              <a:cubicBezTo>
                <a:pt x="550093" y="165100"/>
                <a:pt x="562402" y="171450"/>
                <a:pt x="575493" y="171450"/>
              </a:cubicBezTo>
              <a:cubicBezTo>
                <a:pt x="596001" y="171450"/>
                <a:pt x="646080" y="148930"/>
                <a:pt x="661218" y="142875"/>
              </a:cubicBezTo>
              <a:cubicBezTo>
                <a:pt x="678323" y="91560"/>
                <a:pt x="718415" y="113390"/>
                <a:pt x="737418" y="95250"/>
              </a:cubicBezTo>
              <a:cubicBezTo>
                <a:pt x="756421" y="77110"/>
                <a:pt x="775238" y="34035"/>
                <a:pt x="775238" y="34035"/>
              </a:cubicBezTo>
              <a:cubicBezTo>
                <a:pt x="791113" y="18160"/>
                <a:pt x="826271" y="27898"/>
                <a:pt x="842193" y="28575"/>
              </a:cubicBezTo>
              <a:cubicBezTo>
                <a:pt x="858115" y="29253"/>
                <a:pt x="860728" y="38100"/>
                <a:pt x="870768" y="38100"/>
              </a:cubicBezTo>
              <a:cubicBezTo>
                <a:pt x="880808" y="38100"/>
                <a:pt x="889818" y="31750"/>
                <a:pt x="899343" y="28575"/>
              </a:cubicBezTo>
              <a:cubicBezTo>
                <a:pt x="953451" y="64647"/>
                <a:pt x="912494" y="43664"/>
                <a:pt x="1013643" y="57150"/>
              </a:cubicBezTo>
              <a:cubicBezTo>
                <a:pt x="1032786" y="59702"/>
                <a:pt x="1051940" y="62485"/>
                <a:pt x="1070793" y="66675"/>
              </a:cubicBezTo>
              <a:cubicBezTo>
                <a:pt x="1080594" y="68853"/>
                <a:pt x="1089383" y="75149"/>
                <a:pt x="1099368" y="76200"/>
              </a:cubicBezTo>
              <a:cubicBezTo>
                <a:pt x="1149987" y="81528"/>
                <a:pt x="1200968" y="82550"/>
                <a:pt x="1251768" y="85725"/>
              </a:cubicBezTo>
              <a:cubicBezTo>
                <a:pt x="1288288" y="100333"/>
                <a:pt x="1318111" y="113344"/>
                <a:pt x="1356543" y="123825"/>
              </a:cubicBezTo>
              <a:cubicBezTo>
                <a:pt x="1372162" y="128085"/>
                <a:pt x="1388293" y="130175"/>
                <a:pt x="1404168" y="133350"/>
              </a:cubicBezTo>
              <a:cubicBezTo>
                <a:pt x="1468631" y="111862"/>
                <a:pt x="1395853" y="127768"/>
                <a:pt x="1461318" y="142875"/>
              </a:cubicBezTo>
              <a:cubicBezTo>
                <a:pt x="1492409" y="150050"/>
                <a:pt x="1524818" y="149225"/>
                <a:pt x="1556568" y="152400"/>
              </a:cubicBezTo>
              <a:cubicBezTo>
                <a:pt x="1562918" y="161925"/>
                <a:pt x="1598403" y="164391"/>
                <a:pt x="1619110" y="170434"/>
              </a:cubicBezTo>
              <a:cubicBezTo>
                <a:pt x="1639818" y="176477"/>
                <a:pt x="1665790" y="169438"/>
                <a:pt x="1680813" y="188657"/>
              </a:cubicBezTo>
              <a:cubicBezTo>
                <a:pt x="1695836" y="207876"/>
                <a:pt x="1693443" y="261630"/>
                <a:pt x="1709248" y="285750"/>
              </a:cubicBezTo>
              <a:cubicBezTo>
                <a:pt x="1725053" y="309870"/>
                <a:pt x="1756640" y="322263"/>
                <a:pt x="1775643" y="333375"/>
              </a:cubicBezTo>
              <a:cubicBezTo>
                <a:pt x="1794646" y="344488"/>
                <a:pt x="1806747" y="348020"/>
                <a:pt x="1823268" y="352425"/>
              </a:cubicBezTo>
              <a:cubicBezTo>
                <a:pt x="1854554" y="360768"/>
                <a:pt x="1886968" y="364194"/>
                <a:pt x="1918518" y="371475"/>
              </a:cubicBezTo>
              <a:cubicBezTo>
                <a:pt x="1928301" y="373733"/>
                <a:pt x="1937439" y="378242"/>
                <a:pt x="1947093" y="381000"/>
              </a:cubicBezTo>
              <a:cubicBezTo>
                <a:pt x="1966899" y="386659"/>
                <a:pt x="2014404" y="397595"/>
                <a:pt x="2032818" y="400050"/>
              </a:cubicBezTo>
              <a:cubicBezTo>
                <a:pt x="2064446" y="404267"/>
                <a:pt x="2096370" y="405918"/>
                <a:pt x="2128068" y="409575"/>
              </a:cubicBezTo>
              <a:cubicBezTo>
                <a:pt x="2178926" y="415443"/>
                <a:pt x="2216091" y="432612"/>
                <a:pt x="2280468" y="428625"/>
              </a:cubicBezTo>
              <a:cubicBezTo>
                <a:pt x="2344845" y="424638"/>
                <a:pt x="2422253" y="379305"/>
                <a:pt x="2514328" y="385655"/>
              </a:cubicBezTo>
              <a:cubicBezTo>
                <a:pt x="2583120" y="399413"/>
                <a:pt x="2568885" y="293486"/>
                <a:pt x="2628536" y="275527"/>
              </a:cubicBezTo>
            </a:path>
          </a:pathLst>
        </a:custGeom>
        <a:noFill/>
        <a:ln>
          <a:solidFill>
            <a:srgbClr val="385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82129</xdr:colOff>
      <xdr:row>113</xdr:row>
      <xdr:rowOff>143993</xdr:rowOff>
    </xdr:from>
    <xdr:to>
      <xdr:col>18</xdr:col>
      <xdr:colOff>81633</xdr:colOff>
      <xdr:row>117</xdr:row>
      <xdr:rowOff>5222</xdr:rowOff>
    </xdr:to>
    <xdr:sp macro="" textlink="">
      <xdr:nvSpPr>
        <xdr:cNvPr id="35" name="Freeform 14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58629" y="20270318"/>
          <a:ext cx="952004" cy="585129"/>
        </a:xfrm>
        <a:custGeom>
          <a:avLst/>
          <a:gdLst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19050 w 733429"/>
            <a:gd name="connsiteY3" fmla="*/ 142875 h 533400"/>
            <a:gd name="connsiteX4" fmla="*/ 66675 w 733429"/>
            <a:gd name="connsiteY4" fmla="*/ 76200 h 533400"/>
            <a:gd name="connsiteX5" fmla="*/ 85725 w 733429"/>
            <a:gd name="connsiteY5" fmla="*/ 28575 h 533400"/>
            <a:gd name="connsiteX6" fmla="*/ 114300 w 733429"/>
            <a:gd name="connsiteY6" fmla="*/ 19050 h 533400"/>
            <a:gd name="connsiteX7" fmla="*/ 152400 w 733429"/>
            <a:gd name="connsiteY7" fmla="*/ 0 h 533400"/>
            <a:gd name="connsiteX8" fmla="*/ 466725 w 733429"/>
            <a:gd name="connsiteY8" fmla="*/ 9525 h 533400"/>
            <a:gd name="connsiteX9" fmla="*/ 609600 w 733429"/>
            <a:gd name="connsiteY9" fmla="*/ 19050 h 533400"/>
            <a:gd name="connsiteX10" fmla="*/ 619125 w 733429"/>
            <a:gd name="connsiteY10" fmla="*/ 47625 h 533400"/>
            <a:gd name="connsiteX11" fmla="*/ 638175 w 733429"/>
            <a:gd name="connsiteY11" fmla="*/ 76200 h 533400"/>
            <a:gd name="connsiteX12" fmla="*/ 647700 w 733429"/>
            <a:gd name="connsiteY12" fmla="*/ 123825 h 533400"/>
            <a:gd name="connsiteX13" fmla="*/ 685800 w 733429"/>
            <a:gd name="connsiteY13" fmla="*/ 180975 h 533400"/>
            <a:gd name="connsiteX14" fmla="*/ 704850 w 733429"/>
            <a:gd name="connsiteY14" fmla="*/ 247650 h 533400"/>
            <a:gd name="connsiteX15" fmla="*/ 723900 w 733429"/>
            <a:gd name="connsiteY15" fmla="*/ 323850 h 533400"/>
            <a:gd name="connsiteX16" fmla="*/ 733425 w 733429"/>
            <a:gd name="connsiteY16" fmla="*/ 533400 h 533400"/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66675 w 733429"/>
            <a:gd name="connsiteY3" fmla="*/ 76200 h 533400"/>
            <a:gd name="connsiteX4" fmla="*/ 85725 w 733429"/>
            <a:gd name="connsiteY4" fmla="*/ 28575 h 533400"/>
            <a:gd name="connsiteX5" fmla="*/ 114300 w 733429"/>
            <a:gd name="connsiteY5" fmla="*/ 19050 h 533400"/>
            <a:gd name="connsiteX6" fmla="*/ 152400 w 733429"/>
            <a:gd name="connsiteY6" fmla="*/ 0 h 533400"/>
            <a:gd name="connsiteX7" fmla="*/ 466725 w 733429"/>
            <a:gd name="connsiteY7" fmla="*/ 9525 h 533400"/>
            <a:gd name="connsiteX8" fmla="*/ 609600 w 733429"/>
            <a:gd name="connsiteY8" fmla="*/ 19050 h 533400"/>
            <a:gd name="connsiteX9" fmla="*/ 619125 w 733429"/>
            <a:gd name="connsiteY9" fmla="*/ 47625 h 533400"/>
            <a:gd name="connsiteX10" fmla="*/ 638175 w 733429"/>
            <a:gd name="connsiteY10" fmla="*/ 76200 h 533400"/>
            <a:gd name="connsiteX11" fmla="*/ 647700 w 733429"/>
            <a:gd name="connsiteY11" fmla="*/ 123825 h 533400"/>
            <a:gd name="connsiteX12" fmla="*/ 685800 w 733429"/>
            <a:gd name="connsiteY12" fmla="*/ 180975 h 533400"/>
            <a:gd name="connsiteX13" fmla="*/ 704850 w 733429"/>
            <a:gd name="connsiteY13" fmla="*/ 247650 h 533400"/>
            <a:gd name="connsiteX14" fmla="*/ 723900 w 733429"/>
            <a:gd name="connsiteY14" fmla="*/ 323850 h 533400"/>
            <a:gd name="connsiteX15" fmla="*/ 733425 w 733429"/>
            <a:gd name="connsiteY15" fmla="*/ 533400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733429" h="533400">
              <a:moveTo>
                <a:pt x="0" y="381000"/>
              </a:moveTo>
              <a:cubicBezTo>
                <a:pt x="6350" y="333375"/>
                <a:pt x="6822" y="284590"/>
                <a:pt x="19050" y="238125"/>
              </a:cubicBezTo>
              <a:cubicBezTo>
                <a:pt x="23090" y="222773"/>
                <a:pt x="39688" y="227012"/>
                <a:pt x="47625" y="200025"/>
              </a:cubicBezTo>
              <a:cubicBezTo>
                <a:pt x="55562" y="173038"/>
                <a:pt x="60325" y="104775"/>
                <a:pt x="66675" y="76200"/>
              </a:cubicBezTo>
              <a:cubicBezTo>
                <a:pt x="73025" y="47625"/>
                <a:pt x="74779" y="41710"/>
                <a:pt x="85725" y="28575"/>
              </a:cubicBezTo>
              <a:cubicBezTo>
                <a:pt x="92153" y="20862"/>
                <a:pt x="105072" y="23005"/>
                <a:pt x="114300" y="19050"/>
              </a:cubicBezTo>
              <a:cubicBezTo>
                <a:pt x="127351" y="13457"/>
                <a:pt x="139700" y="6350"/>
                <a:pt x="152400" y="0"/>
              </a:cubicBezTo>
              <a:lnTo>
                <a:pt x="466725" y="9525"/>
              </a:lnTo>
              <a:cubicBezTo>
                <a:pt x="514414" y="11512"/>
                <a:pt x="563294" y="7474"/>
                <a:pt x="609600" y="19050"/>
              </a:cubicBezTo>
              <a:cubicBezTo>
                <a:pt x="619340" y="21485"/>
                <a:pt x="614635" y="38645"/>
                <a:pt x="619125" y="47625"/>
              </a:cubicBezTo>
              <a:cubicBezTo>
                <a:pt x="624245" y="57864"/>
                <a:pt x="631825" y="66675"/>
                <a:pt x="638175" y="76200"/>
              </a:cubicBezTo>
              <a:cubicBezTo>
                <a:pt x="641350" y="92075"/>
                <a:pt x="641001" y="109087"/>
                <a:pt x="647700" y="123825"/>
              </a:cubicBezTo>
              <a:cubicBezTo>
                <a:pt x="657174" y="144668"/>
                <a:pt x="685800" y="180975"/>
                <a:pt x="685800" y="180975"/>
              </a:cubicBezTo>
              <a:cubicBezTo>
                <a:pt x="692150" y="203200"/>
                <a:pt x="698894" y="225316"/>
                <a:pt x="704850" y="247650"/>
              </a:cubicBezTo>
              <a:cubicBezTo>
                <a:pt x="711596" y="272948"/>
                <a:pt x="723900" y="323850"/>
                <a:pt x="723900" y="323850"/>
              </a:cubicBezTo>
              <a:cubicBezTo>
                <a:pt x="733926" y="514337"/>
                <a:pt x="733425" y="444417"/>
                <a:pt x="733425" y="5334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152600</xdr:colOff>
      <xdr:row>114</xdr:row>
      <xdr:rowOff>104970</xdr:rowOff>
    </xdr:from>
    <xdr:to>
      <xdr:col>18</xdr:col>
      <xdr:colOff>34648</xdr:colOff>
      <xdr:row>115</xdr:row>
      <xdr:rowOff>11849</xdr:rowOff>
    </xdr:to>
    <xdr:sp macro="" textlink="">
      <xdr:nvSpPr>
        <xdr:cNvPr id="36" name="Freeform 14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2629100" y="20412270"/>
          <a:ext cx="834548" cy="87854"/>
        </a:xfrm>
        <a:custGeom>
          <a:avLst/>
          <a:gdLst>
            <a:gd name="connsiteX0" fmla="*/ 0 w 638175"/>
            <a:gd name="connsiteY0" fmla="*/ 0 h 85725"/>
            <a:gd name="connsiteX1" fmla="*/ 114300 w 638175"/>
            <a:gd name="connsiteY1" fmla="*/ 38100 h 85725"/>
            <a:gd name="connsiteX2" fmla="*/ 180975 w 638175"/>
            <a:gd name="connsiteY2" fmla="*/ 47625 h 85725"/>
            <a:gd name="connsiteX3" fmla="*/ 581025 w 638175"/>
            <a:gd name="connsiteY3" fmla="*/ 66675 h 85725"/>
            <a:gd name="connsiteX4" fmla="*/ 638175 w 638175"/>
            <a:gd name="connsiteY4" fmla="*/ 85725 h 85725"/>
            <a:gd name="connsiteX0" fmla="*/ 0 w 638175"/>
            <a:gd name="connsiteY0" fmla="*/ 0 h 85725"/>
            <a:gd name="connsiteX1" fmla="*/ 180975 w 638175"/>
            <a:gd name="connsiteY1" fmla="*/ 47625 h 85725"/>
            <a:gd name="connsiteX2" fmla="*/ 581025 w 638175"/>
            <a:gd name="connsiteY2" fmla="*/ 66675 h 85725"/>
            <a:gd name="connsiteX3" fmla="*/ 638175 w 638175"/>
            <a:gd name="connsiteY3" fmla="*/ 85725 h 85725"/>
            <a:gd name="connsiteX0" fmla="*/ 0 w 638175"/>
            <a:gd name="connsiteY0" fmla="*/ 0 h 85725"/>
            <a:gd name="connsiteX1" fmla="*/ 581025 w 638175"/>
            <a:gd name="connsiteY1" fmla="*/ 66675 h 85725"/>
            <a:gd name="connsiteX2" fmla="*/ 638175 w 638175"/>
            <a:gd name="connsiteY2" fmla="*/ 85725 h 85725"/>
            <a:gd name="connsiteX0" fmla="*/ 0 w 638175"/>
            <a:gd name="connsiteY0" fmla="*/ 0 h 85725"/>
            <a:gd name="connsiteX1" fmla="*/ 638175 w 638175"/>
            <a:gd name="connsiteY1" fmla="*/ 85725 h 85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38175" h="85725">
              <a:moveTo>
                <a:pt x="0" y="0"/>
              </a:moveTo>
              <a:lnTo>
                <a:pt x="638175" y="8572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174787</xdr:colOff>
      <xdr:row>117</xdr:row>
      <xdr:rowOff>42375</xdr:rowOff>
    </xdr:from>
    <xdr:to>
      <xdr:col>29</xdr:col>
      <xdr:colOff>38845</xdr:colOff>
      <xdr:row>118</xdr:row>
      <xdr:rowOff>152400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4746787" y="20892600"/>
          <a:ext cx="816558" cy="29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 </a:t>
          </a:r>
          <a:r>
            <a:rPr lang="en-US" sz="1100"/>
            <a:t>P</a:t>
          </a:r>
        </a:p>
      </xdr:txBody>
    </xdr:sp>
    <xdr:clientData/>
  </xdr:twoCellAnchor>
  <xdr:twoCellAnchor>
    <xdr:from>
      <xdr:col>5</xdr:col>
      <xdr:colOff>139923</xdr:colOff>
      <xdr:row>115</xdr:row>
      <xdr:rowOff>4453</xdr:rowOff>
    </xdr:from>
    <xdr:to>
      <xdr:col>9</xdr:col>
      <xdr:colOff>187861</xdr:colOff>
      <xdr:row>116</xdr:row>
      <xdr:rowOff>104953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092423" y="20492728"/>
          <a:ext cx="809938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  P</a:t>
          </a:r>
        </a:p>
      </xdr:txBody>
    </xdr:sp>
    <xdr:clientData/>
  </xdr:twoCellAnchor>
  <xdr:twoCellAnchor>
    <xdr:from>
      <xdr:col>2</xdr:col>
      <xdr:colOff>56845</xdr:colOff>
      <xdr:row>113</xdr:row>
      <xdr:rowOff>24513</xdr:rowOff>
    </xdr:from>
    <xdr:to>
      <xdr:col>5</xdr:col>
      <xdr:colOff>173642</xdr:colOff>
      <xdr:row>114</xdr:row>
      <xdr:rowOff>134538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437845" y="20150838"/>
          <a:ext cx="688297" cy="29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</a:t>
          </a:r>
          <a:r>
            <a:rPr lang="en-US" sz="1100"/>
            <a:t> HC</a:t>
          </a:r>
        </a:p>
      </xdr:txBody>
    </xdr:sp>
    <xdr:clientData/>
  </xdr:twoCellAnchor>
  <xdr:twoCellAnchor>
    <xdr:from>
      <xdr:col>28</xdr:col>
      <xdr:colOff>72307</xdr:colOff>
      <xdr:row>115</xdr:row>
      <xdr:rowOff>120420</xdr:rowOff>
    </xdr:from>
    <xdr:to>
      <xdr:col>30</xdr:col>
      <xdr:colOff>148734</xdr:colOff>
      <xdr:row>117</xdr:row>
      <xdr:rowOff>39945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5406307" y="20608695"/>
          <a:ext cx="457427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</a:t>
          </a:r>
          <a:r>
            <a:rPr lang="en-US" sz="1100"/>
            <a:t>HC</a:t>
          </a:r>
        </a:p>
      </xdr:txBody>
    </xdr:sp>
    <xdr:clientData/>
  </xdr:twoCellAnchor>
  <xdr:twoCellAnchor>
    <xdr:from>
      <xdr:col>18</xdr:col>
      <xdr:colOff>28575</xdr:colOff>
      <xdr:row>111</xdr:row>
      <xdr:rowOff>68036</xdr:rowOff>
    </xdr:from>
    <xdr:to>
      <xdr:col>33</xdr:col>
      <xdr:colOff>136073</xdr:colOff>
      <xdr:row>114</xdr:row>
      <xdr:rowOff>133350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3457575" y="19832411"/>
          <a:ext cx="2964998" cy="608239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 b="1" i="0" u="sng"/>
            <a:t>Longitudinal</a:t>
          </a:r>
          <a:r>
            <a:rPr lang="en-US" sz="1000" b="1" i="0" u="sng" baseline="0"/>
            <a:t> Profile Feature Code Abbreviations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HC = Hydraulic Control     </a:t>
          </a:r>
          <a:r>
            <a:rPr lang="en-US" sz="1000" b="1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GC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Grade Control</a:t>
          </a:r>
          <a:endParaRPr lang="en-US" sz="1000" b="1" i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P = Pool Bottom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000" b="1" i="0" baseline="0">
              <a:solidFill>
                <a:schemeClr val="tx1"/>
              </a:solidFill>
              <a:effectLst/>
              <a:latin typeface="Bell MT" panose="02020503060305020303" pitchFamily="18" charset="0"/>
              <a:ea typeface="+mn-ea"/>
              <a:cs typeface="+mn-cs"/>
            </a:rPr>
            <a:t> I 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Invert     CB = Channel Bottom</a:t>
          </a:r>
          <a:endParaRPr lang="en-US" sz="1000" b="1" i="0" u="none" baseline="0"/>
        </a:p>
      </xdr:txBody>
    </xdr:sp>
    <xdr:clientData/>
  </xdr:twoCellAnchor>
  <xdr:twoCellAnchor>
    <xdr:from>
      <xdr:col>29</xdr:col>
      <xdr:colOff>165048</xdr:colOff>
      <xdr:row>116</xdr:row>
      <xdr:rowOff>145376</xdr:rowOff>
    </xdr:from>
    <xdr:to>
      <xdr:col>29</xdr:col>
      <xdr:colOff>165049</xdr:colOff>
      <xdr:row>118</xdr:row>
      <xdr:rowOff>2412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5689548" y="20814626"/>
          <a:ext cx="1" cy="2189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54414</xdr:colOff>
      <xdr:row>118</xdr:row>
      <xdr:rowOff>69176</xdr:rowOff>
    </xdr:from>
    <xdr:to>
      <xdr:col>26</xdr:col>
      <xdr:colOff>54415</xdr:colOff>
      <xdr:row>119</xdr:row>
      <xdr:rowOff>116712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5007414" y="21100376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25839</xdr:colOff>
      <xdr:row>116</xdr:row>
      <xdr:rowOff>31076</xdr:rowOff>
    </xdr:from>
    <xdr:to>
      <xdr:col>7</xdr:col>
      <xdr:colOff>25840</xdr:colOff>
      <xdr:row>117</xdr:row>
      <xdr:rowOff>78612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1359339" y="20700326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130612</xdr:colOff>
      <xdr:row>114</xdr:row>
      <xdr:rowOff>40601</xdr:rowOff>
    </xdr:from>
    <xdr:to>
      <xdr:col>3</xdr:col>
      <xdr:colOff>130613</xdr:colOff>
      <xdr:row>115</xdr:row>
      <xdr:rowOff>88137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702112" y="20347901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76470</xdr:colOff>
      <xdr:row>113</xdr:row>
      <xdr:rowOff>41985</xdr:rowOff>
    </xdr:from>
    <xdr:to>
      <xdr:col>12</xdr:col>
      <xdr:colOff>76200</xdr:colOff>
      <xdr:row>116</xdr:row>
      <xdr:rowOff>123825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790970" y="20168310"/>
          <a:ext cx="571230" cy="624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10</xdr:col>
      <xdr:colOff>133550</xdr:colOff>
      <xdr:row>115</xdr:row>
      <xdr:rowOff>57434</xdr:rowOff>
    </xdr:from>
    <xdr:to>
      <xdr:col>11</xdr:col>
      <xdr:colOff>70026</xdr:colOff>
      <xdr:row>115</xdr:row>
      <xdr:rowOff>143993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038550" y="20545709"/>
          <a:ext cx="126976" cy="865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133620</xdr:colOff>
      <xdr:row>114</xdr:row>
      <xdr:rowOff>146760</xdr:rowOff>
    </xdr:from>
    <xdr:to>
      <xdr:col>23</xdr:col>
      <xdr:colOff>133350</xdr:colOff>
      <xdr:row>118</xdr:row>
      <xdr:rowOff>38100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3943620" y="20454060"/>
          <a:ext cx="571230" cy="615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20</xdr:col>
      <xdr:colOff>100392</xdr:colOff>
      <xdr:row>116</xdr:row>
      <xdr:rowOff>143159</xdr:rowOff>
    </xdr:from>
    <xdr:to>
      <xdr:col>21</xdr:col>
      <xdr:colOff>36868</xdr:colOff>
      <xdr:row>117</xdr:row>
      <xdr:rowOff>60857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3910392" y="20812409"/>
          <a:ext cx="126976" cy="9867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162195</xdr:colOff>
      <xdr:row>117</xdr:row>
      <xdr:rowOff>11677</xdr:rowOff>
    </xdr:from>
    <xdr:to>
      <xdr:col>14</xdr:col>
      <xdr:colOff>161925</xdr:colOff>
      <xdr:row>119</xdr:row>
      <xdr:rowOff>104774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2257695" y="20861902"/>
          <a:ext cx="571230" cy="455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13</xdr:col>
      <xdr:colOff>76200</xdr:colOff>
      <xdr:row>116</xdr:row>
      <xdr:rowOff>38101</xdr:rowOff>
    </xdr:from>
    <xdr:to>
      <xdr:col>13</xdr:col>
      <xdr:colOff>76201</xdr:colOff>
      <xdr:row>117</xdr:row>
      <xdr:rowOff>28575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552700" y="20707351"/>
          <a:ext cx="1" cy="17144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162195</xdr:colOff>
      <xdr:row>117</xdr:row>
      <xdr:rowOff>137234</xdr:rowOff>
    </xdr:from>
    <xdr:to>
      <xdr:col>19</xdr:col>
      <xdr:colOff>161925</xdr:colOff>
      <xdr:row>120</xdr:row>
      <xdr:rowOff>57149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3210195" y="20987459"/>
          <a:ext cx="571230" cy="46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18</xdr:col>
      <xdr:colOff>76200</xdr:colOff>
      <xdr:row>117</xdr:row>
      <xdr:rowOff>7794</xdr:rowOff>
    </xdr:from>
    <xdr:to>
      <xdr:col>18</xdr:col>
      <xdr:colOff>76201</xdr:colOff>
      <xdr:row>117</xdr:row>
      <xdr:rowOff>171450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V="1">
          <a:off x="3505200" y="20858019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27213</xdr:colOff>
      <xdr:row>115</xdr:row>
      <xdr:rowOff>55547</xdr:rowOff>
    </xdr:from>
    <xdr:to>
      <xdr:col>3</xdr:col>
      <xdr:colOff>71754</xdr:colOff>
      <xdr:row>115</xdr:row>
      <xdr:rowOff>164441</xdr:rowOff>
    </xdr:to>
    <xdr:sp macro="" textlink="">
      <xdr:nvSpPr>
        <xdr:cNvPr id="54" name="Freeform 170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27213" y="20543822"/>
          <a:ext cx="616041" cy="108894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564427 w 564427"/>
            <a:gd name="connsiteY0" fmla="*/ 41693 h 41693"/>
            <a:gd name="connsiteX1" fmla="*/ 455570 w 564427"/>
            <a:gd name="connsiteY1" fmla="*/ 28086 h 41693"/>
            <a:gd name="connsiteX2" fmla="*/ 414748 w 564427"/>
            <a:gd name="connsiteY2" fmla="*/ 14479 h 41693"/>
            <a:gd name="connsiteX3" fmla="*/ 33748 w 564427"/>
            <a:gd name="connsiteY3" fmla="*/ 872 h 41693"/>
            <a:gd name="connsiteX4" fmla="*/ 16423 w 564427"/>
            <a:gd name="connsiteY4" fmla="*/ 13361 h 41693"/>
            <a:gd name="connsiteX0" fmla="*/ 602433 w 602433"/>
            <a:gd name="connsiteY0" fmla="*/ 41693 h 122218"/>
            <a:gd name="connsiteX1" fmla="*/ 493576 w 602433"/>
            <a:gd name="connsiteY1" fmla="*/ 28086 h 122218"/>
            <a:gd name="connsiteX2" fmla="*/ 452754 w 602433"/>
            <a:gd name="connsiteY2" fmla="*/ 14479 h 122218"/>
            <a:gd name="connsiteX3" fmla="*/ 71754 w 602433"/>
            <a:gd name="connsiteY3" fmla="*/ 872 h 122218"/>
            <a:gd name="connsiteX4" fmla="*/ 0 w 602433"/>
            <a:gd name="connsiteY4" fmla="*/ 122218 h 122218"/>
            <a:gd name="connsiteX0" fmla="*/ 616041 w 616041"/>
            <a:gd name="connsiteY0" fmla="*/ 41693 h 67789"/>
            <a:gd name="connsiteX1" fmla="*/ 507184 w 616041"/>
            <a:gd name="connsiteY1" fmla="*/ 28086 h 67789"/>
            <a:gd name="connsiteX2" fmla="*/ 466362 w 616041"/>
            <a:gd name="connsiteY2" fmla="*/ 14479 h 67789"/>
            <a:gd name="connsiteX3" fmla="*/ 85362 w 616041"/>
            <a:gd name="connsiteY3" fmla="*/ 872 h 67789"/>
            <a:gd name="connsiteX4" fmla="*/ 0 w 616041"/>
            <a:gd name="connsiteY4" fmla="*/ 67789 h 67789"/>
            <a:gd name="connsiteX0" fmla="*/ 616041 w 616041"/>
            <a:gd name="connsiteY0" fmla="*/ 40822 h 108894"/>
            <a:gd name="connsiteX1" fmla="*/ 507184 w 616041"/>
            <a:gd name="connsiteY1" fmla="*/ 27215 h 108894"/>
            <a:gd name="connsiteX2" fmla="*/ 346502 w 616041"/>
            <a:gd name="connsiteY2" fmla="*/ 108858 h 108894"/>
            <a:gd name="connsiteX3" fmla="*/ 85362 w 616041"/>
            <a:gd name="connsiteY3" fmla="*/ 1 h 108894"/>
            <a:gd name="connsiteX4" fmla="*/ 0 w 616041"/>
            <a:gd name="connsiteY4" fmla="*/ 66918 h 108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16041" h="108894">
              <a:moveTo>
                <a:pt x="616041" y="40822"/>
              </a:moveTo>
              <a:cubicBezTo>
                <a:pt x="579755" y="36286"/>
                <a:pt x="552107" y="15876"/>
                <a:pt x="507184" y="27215"/>
              </a:cubicBezTo>
              <a:cubicBezTo>
                <a:pt x="462261" y="38554"/>
                <a:pt x="360720" y="110754"/>
                <a:pt x="346502" y="108858"/>
              </a:cubicBezTo>
              <a:cubicBezTo>
                <a:pt x="199248" y="89224"/>
                <a:pt x="240298" y="1"/>
                <a:pt x="85362" y="1"/>
              </a:cubicBezTo>
              <a:cubicBezTo>
                <a:pt x="18975" y="-185"/>
                <a:pt x="3609" y="64316"/>
                <a:pt x="0" y="66918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17325</xdr:colOff>
      <xdr:row>118</xdr:row>
      <xdr:rowOff>32810</xdr:rowOff>
    </xdr:from>
    <xdr:to>
      <xdr:col>33</xdr:col>
      <xdr:colOff>180610</xdr:colOff>
      <xdr:row>118</xdr:row>
      <xdr:rowOff>168880</xdr:rowOff>
    </xdr:to>
    <xdr:sp macro="" textlink="">
      <xdr:nvSpPr>
        <xdr:cNvPr id="55" name="Freeform 171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5732325" y="21064010"/>
          <a:ext cx="734785" cy="136070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680357 w 680357"/>
            <a:gd name="connsiteY0" fmla="*/ 177764 h 177764"/>
            <a:gd name="connsiteX1" fmla="*/ 421822 w 680357"/>
            <a:gd name="connsiteY1" fmla="*/ 28086 h 177764"/>
            <a:gd name="connsiteX2" fmla="*/ 381000 w 680357"/>
            <a:gd name="connsiteY2" fmla="*/ 14479 h 177764"/>
            <a:gd name="connsiteX3" fmla="*/ 0 w 680357"/>
            <a:gd name="connsiteY3" fmla="*/ 872 h 177764"/>
            <a:gd name="connsiteX0" fmla="*/ 734785 w 734785"/>
            <a:gd name="connsiteY0" fmla="*/ 136942 h 136942"/>
            <a:gd name="connsiteX1" fmla="*/ 421822 w 734785"/>
            <a:gd name="connsiteY1" fmla="*/ 28086 h 136942"/>
            <a:gd name="connsiteX2" fmla="*/ 381000 w 734785"/>
            <a:gd name="connsiteY2" fmla="*/ 14479 h 136942"/>
            <a:gd name="connsiteX3" fmla="*/ 0 w 734785"/>
            <a:gd name="connsiteY3" fmla="*/ 872 h 136942"/>
            <a:gd name="connsiteX0" fmla="*/ 734785 w 734785"/>
            <a:gd name="connsiteY0" fmla="*/ 136070 h 136070"/>
            <a:gd name="connsiteX1" fmla="*/ 421822 w 734785"/>
            <a:gd name="connsiteY1" fmla="*/ 27214 h 136070"/>
            <a:gd name="connsiteX2" fmla="*/ 232344 w 734785"/>
            <a:gd name="connsiteY2" fmla="*/ 70757 h 136070"/>
            <a:gd name="connsiteX3" fmla="*/ 0 w 734785"/>
            <a:gd name="connsiteY3" fmla="*/ 0 h 1360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34785" h="136070">
              <a:moveTo>
                <a:pt x="734785" y="136070"/>
              </a:moveTo>
              <a:cubicBezTo>
                <a:pt x="698499" y="131534"/>
                <a:pt x="505562" y="38099"/>
                <a:pt x="421822" y="27214"/>
              </a:cubicBezTo>
              <a:cubicBezTo>
                <a:pt x="338082" y="16329"/>
                <a:pt x="246562" y="72653"/>
                <a:pt x="232344" y="70757"/>
              </a:cubicBezTo>
              <a:cubicBezTo>
                <a:pt x="85090" y="51123"/>
                <a:pt x="154936" y="0"/>
                <a:pt x="0" y="0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6975</xdr:colOff>
      <xdr:row>111</xdr:row>
      <xdr:rowOff>20589</xdr:rowOff>
    </xdr:from>
    <xdr:to>
      <xdr:col>5</xdr:col>
      <xdr:colOff>114300</xdr:colOff>
      <xdr:row>114</xdr:row>
      <xdr:rowOff>7282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6975" y="19784964"/>
          <a:ext cx="1059825" cy="5296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HC</a:t>
          </a:r>
        </a:p>
        <a:p>
          <a:r>
            <a:rPr lang="en-US" sz="1000" i="1"/>
            <a:t>(starting point)</a:t>
          </a:r>
        </a:p>
      </xdr:txBody>
    </xdr:sp>
    <xdr:clientData/>
  </xdr:twoCellAnchor>
  <xdr:twoCellAnchor>
    <xdr:from>
      <xdr:col>0</xdr:col>
      <xdr:colOff>153019</xdr:colOff>
      <xdr:row>113</xdr:row>
      <xdr:rowOff>57150</xdr:rowOff>
    </xdr:from>
    <xdr:to>
      <xdr:col>0</xdr:col>
      <xdr:colOff>153019</xdr:colOff>
      <xdr:row>115</xdr:row>
      <xdr:rowOff>20902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H="1">
          <a:off x="153019" y="20183475"/>
          <a:ext cx="0" cy="3257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17565</xdr:colOff>
      <xdr:row>115</xdr:row>
      <xdr:rowOff>139339</xdr:rowOff>
    </xdr:from>
    <xdr:to>
      <xdr:col>33</xdr:col>
      <xdr:colOff>84467</xdr:colOff>
      <xdr:row>117</xdr:row>
      <xdr:rowOff>55153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5923065" y="20627614"/>
          <a:ext cx="447902" cy="27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HC</a:t>
          </a:r>
        </a:p>
      </xdr:txBody>
    </xdr:sp>
    <xdr:clientData/>
  </xdr:twoCellAnchor>
  <xdr:twoCellAnchor>
    <xdr:from>
      <xdr:col>32</xdr:col>
      <xdr:colOff>72206</xdr:colOff>
      <xdr:row>116</xdr:row>
      <xdr:rowOff>158183</xdr:rowOff>
    </xdr:from>
    <xdr:to>
      <xdr:col>32</xdr:col>
      <xdr:colOff>72207</xdr:colOff>
      <xdr:row>118</xdr:row>
      <xdr:rowOff>17620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6168206" y="20827433"/>
          <a:ext cx="1" cy="22138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60</xdr:row>
          <xdr:rowOff>57150</xdr:rowOff>
        </xdr:from>
        <xdr:to>
          <xdr:col>18</xdr:col>
          <xdr:colOff>152400</xdr:colOff>
          <xdr:row>66</xdr:row>
          <xdr:rowOff>19050</xdr:rowOff>
        </xdr:to>
        <xdr:sp macro="" textlink="">
          <xdr:nvSpPr>
            <xdr:cNvPr id="5153" name="List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85</xdr:row>
          <xdr:rowOff>66675</xdr:rowOff>
        </xdr:from>
        <xdr:to>
          <xdr:col>8</xdr:col>
          <xdr:colOff>66675</xdr:colOff>
          <xdr:row>88</xdr:row>
          <xdr:rowOff>95250</xdr:rowOff>
        </xdr:to>
        <xdr:sp macro="" textlink="">
          <xdr:nvSpPr>
            <xdr:cNvPr id="5154" name="List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85</xdr:row>
          <xdr:rowOff>76200</xdr:rowOff>
        </xdr:from>
        <xdr:to>
          <xdr:col>3</xdr:col>
          <xdr:colOff>57150</xdr:colOff>
          <xdr:row>88</xdr:row>
          <xdr:rowOff>66675</xdr:rowOff>
        </xdr:to>
        <xdr:sp macro="" textlink="">
          <xdr:nvSpPr>
            <xdr:cNvPr id="5155" name="List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40821</xdr:colOff>
      <xdr:row>46</xdr:row>
      <xdr:rowOff>40821</xdr:rowOff>
    </xdr:from>
    <xdr:to>
      <xdr:col>14</xdr:col>
      <xdr:colOff>117021</xdr:colOff>
      <xdr:row>46</xdr:row>
      <xdr:rowOff>40821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40821" y="8518071"/>
          <a:ext cx="27432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28575</xdr:rowOff>
        </xdr:from>
        <xdr:to>
          <xdr:col>23</xdr:col>
          <xdr:colOff>104775</xdr:colOff>
          <xdr:row>64</xdr:row>
          <xdr:rowOff>142875</xdr:rowOff>
        </xdr:to>
        <xdr:sp macro="" textlink="">
          <xdr:nvSpPr>
            <xdr:cNvPr id="5156" name="List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67</xdr:row>
          <xdr:rowOff>57150</xdr:rowOff>
        </xdr:from>
        <xdr:to>
          <xdr:col>6</xdr:col>
          <xdr:colOff>152400</xdr:colOff>
          <xdr:row>73</xdr:row>
          <xdr:rowOff>152400</xdr:rowOff>
        </xdr:to>
        <xdr:sp macro="" textlink="">
          <xdr:nvSpPr>
            <xdr:cNvPr id="5157" name="List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69</xdr:row>
          <xdr:rowOff>28575</xdr:rowOff>
        </xdr:from>
        <xdr:to>
          <xdr:col>11</xdr:col>
          <xdr:colOff>152400</xdr:colOff>
          <xdr:row>73</xdr:row>
          <xdr:rowOff>0</xdr:rowOff>
        </xdr:to>
        <xdr:sp macro="" textlink="">
          <xdr:nvSpPr>
            <xdr:cNvPr id="5158" name="List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67</xdr:row>
          <xdr:rowOff>57150</xdr:rowOff>
        </xdr:from>
        <xdr:to>
          <xdr:col>28</xdr:col>
          <xdr:colOff>152400</xdr:colOff>
          <xdr:row>73</xdr:row>
          <xdr:rowOff>57150</xdr:rowOff>
        </xdr:to>
        <xdr:sp macro="" textlink="">
          <xdr:nvSpPr>
            <xdr:cNvPr id="5159" name="List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104775</xdr:colOff>
          <xdr:row>69</xdr:row>
          <xdr:rowOff>28575</xdr:rowOff>
        </xdr:from>
        <xdr:to>
          <xdr:col>33</xdr:col>
          <xdr:colOff>38100</xdr:colOff>
          <xdr:row>72</xdr:row>
          <xdr:rowOff>152400</xdr:rowOff>
        </xdr:to>
        <xdr:sp macro="" textlink="">
          <xdr:nvSpPr>
            <xdr:cNvPr id="5160" name="List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67</xdr:row>
          <xdr:rowOff>57150</xdr:rowOff>
        </xdr:from>
        <xdr:to>
          <xdr:col>18</xdr:col>
          <xdr:colOff>152400</xdr:colOff>
          <xdr:row>73</xdr:row>
          <xdr:rowOff>152400</xdr:rowOff>
        </xdr:to>
        <xdr:sp macro="" textlink="">
          <xdr:nvSpPr>
            <xdr:cNvPr id="5161" name="List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28575</xdr:rowOff>
        </xdr:from>
        <xdr:to>
          <xdr:col>23</xdr:col>
          <xdr:colOff>104775</xdr:colOff>
          <xdr:row>72</xdr:row>
          <xdr:rowOff>171450</xdr:rowOff>
        </xdr:to>
        <xdr:sp macro="" textlink="">
          <xdr:nvSpPr>
            <xdr:cNvPr id="5162" name="List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162</xdr:row>
          <xdr:rowOff>171450</xdr:rowOff>
        </xdr:from>
        <xdr:to>
          <xdr:col>14</xdr:col>
          <xdr:colOff>66675</xdr:colOff>
          <xdr:row>164</xdr:row>
          <xdr:rowOff>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162</xdr:row>
          <xdr:rowOff>171450</xdr:rowOff>
        </xdr:from>
        <xdr:to>
          <xdr:col>21</xdr:col>
          <xdr:colOff>38100</xdr:colOff>
          <xdr:row>164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162</xdr:row>
          <xdr:rowOff>171450</xdr:rowOff>
        </xdr:from>
        <xdr:to>
          <xdr:col>30</xdr:col>
          <xdr:colOff>133350</xdr:colOff>
          <xdr:row>164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165</xdr:row>
          <xdr:rowOff>66675</xdr:rowOff>
        </xdr:from>
        <xdr:to>
          <xdr:col>14</xdr:col>
          <xdr:colOff>66675</xdr:colOff>
          <xdr:row>166</xdr:row>
          <xdr:rowOff>66675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165</xdr:row>
          <xdr:rowOff>66675</xdr:rowOff>
        </xdr:from>
        <xdr:to>
          <xdr:col>21</xdr:col>
          <xdr:colOff>38100</xdr:colOff>
          <xdr:row>166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165</xdr:row>
          <xdr:rowOff>66675</xdr:rowOff>
        </xdr:from>
        <xdr:to>
          <xdr:col>30</xdr:col>
          <xdr:colOff>133350</xdr:colOff>
          <xdr:row>166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170</xdr:row>
          <xdr:rowOff>95250</xdr:rowOff>
        </xdr:from>
        <xdr:to>
          <xdr:col>14</xdr:col>
          <xdr:colOff>66675</xdr:colOff>
          <xdr:row>171</xdr:row>
          <xdr:rowOff>95250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170</xdr:row>
          <xdr:rowOff>95250</xdr:rowOff>
        </xdr:from>
        <xdr:to>
          <xdr:col>21</xdr:col>
          <xdr:colOff>38100</xdr:colOff>
          <xdr:row>171</xdr:row>
          <xdr:rowOff>95250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170</xdr:row>
          <xdr:rowOff>95250</xdr:rowOff>
        </xdr:from>
        <xdr:to>
          <xdr:col>30</xdr:col>
          <xdr:colOff>133350</xdr:colOff>
          <xdr:row>171</xdr:row>
          <xdr:rowOff>95250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162195</xdr:colOff>
      <xdr:row>103</xdr:row>
      <xdr:rowOff>0</xdr:rowOff>
    </xdr:from>
    <xdr:to>
      <xdr:col>4</xdr:col>
      <xdr:colOff>161925</xdr:colOff>
      <xdr:row>103</xdr:row>
      <xdr:rowOff>57149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3210195" y="20987459"/>
          <a:ext cx="571230" cy="46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54</xdr:row>
      <xdr:rowOff>0</xdr:rowOff>
    </xdr:from>
    <xdr:to>
      <xdr:col>4</xdr:col>
      <xdr:colOff>161925</xdr:colOff>
      <xdr:row>54</xdr:row>
      <xdr:rowOff>57149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352695" y="14116050"/>
          <a:ext cx="571230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0</xdr:col>
      <xdr:colOff>28222</xdr:colOff>
      <xdr:row>34</xdr:row>
      <xdr:rowOff>41</xdr:rowOff>
    </xdr:from>
    <xdr:to>
      <xdr:col>26</xdr:col>
      <xdr:colOff>123755</xdr:colOff>
      <xdr:row>48</xdr:row>
      <xdr:rowOff>127404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155221</xdr:colOff>
      <xdr:row>43</xdr:row>
      <xdr:rowOff>113293</xdr:rowOff>
    </xdr:from>
    <xdr:to>
      <xdr:col>26</xdr:col>
      <xdr:colOff>155222</xdr:colOff>
      <xdr:row>48</xdr:row>
      <xdr:rowOff>113292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908777" y="7359349"/>
          <a:ext cx="1382889" cy="8113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rIns="18288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700" i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*The road</a:t>
          </a:r>
          <a:r>
            <a:rPr lang="en-US" sz="700" i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profile is centered over the inverts for graphical purposes; it does not necessarily reflect its true configuration along the longitudinal profile.</a:t>
          </a:r>
          <a:endParaRPr lang="en-US" sz="700">
            <a:solidFill>
              <a:schemeClr val="tx2"/>
            </a:solidFill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18</xdr:col>
      <xdr:colOff>0</xdr:colOff>
      <xdr:row>13</xdr:row>
      <xdr:rowOff>0</xdr:rowOff>
    </xdr:from>
    <xdr:to>
      <xdr:col>25</xdr:col>
      <xdr:colOff>178651</xdr:colOff>
      <xdr:row>19</xdr:row>
      <xdr:rowOff>125404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109107"/>
          <a:ext cx="1512151" cy="1186761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35</xdr:col>
      <xdr:colOff>118059</xdr:colOff>
      <xdr:row>19</xdr:row>
      <xdr:rowOff>125404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2109107"/>
          <a:ext cx="1533202" cy="1186761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18</xdr:col>
      <xdr:colOff>0</xdr:colOff>
      <xdr:row>21</xdr:row>
      <xdr:rowOff>165615</xdr:rowOff>
    </xdr:from>
    <xdr:to>
      <xdr:col>25</xdr:col>
      <xdr:colOff>178651</xdr:colOff>
      <xdr:row>28</xdr:row>
      <xdr:rowOff>114125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3689865"/>
          <a:ext cx="1512151" cy="118676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27</xdr:col>
      <xdr:colOff>0</xdr:colOff>
      <xdr:row>22</xdr:row>
      <xdr:rowOff>0</xdr:rowOff>
    </xdr:from>
    <xdr:to>
      <xdr:col>35</xdr:col>
      <xdr:colOff>118059</xdr:colOff>
      <xdr:row>28</xdr:row>
      <xdr:rowOff>125403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3701143"/>
          <a:ext cx="1533202" cy="118676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>
    <xdr:from>
      <xdr:col>18</xdr:col>
      <xdr:colOff>147289</xdr:colOff>
      <xdr:row>15</xdr:row>
      <xdr:rowOff>11268</xdr:rowOff>
    </xdr:from>
    <xdr:to>
      <xdr:col>25</xdr:col>
      <xdr:colOff>31361</xdr:colOff>
      <xdr:row>17</xdr:row>
      <xdr:rowOff>114134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 rot="19567932">
          <a:off x="3576289" y="2474161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27</xdr:col>
      <xdr:colOff>157815</xdr:colOff>
      <xdr:row>15</xdr:row>
      <xdr:rowOff>11268</xdr:rowOff>
    </xdr:from>
    <xdr:to>
      <xdr:col>34</xdr:col>
      <xdr:colOff>41887</xdr:colOff>
      <xdr:row>17</xdr:row>
      <xdr:rowOff>114134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 rot="19567932">
          <a:off x="5301315" y="2474161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27</xdr:col>
      <xdr:colOff>157815</xdr:colOff>
      <xdr:row>24</xdr:row>
      <xdr:rowOff>11268</xdr:rowOff>
    </xdr:from>
    <xdr:to>
      <xdr:col>34</xdr:col>
      <xdr:colOff>41887</xdr:colOff>
      <xdr:row>26</xdr:row>
      <xdr:rowOff>114135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 rot="19567932">
          <a:off x="5301315" y="4066197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18</xdr:col>
      <xdr:colOff>147289</xdr:colOff>
      <xdr:row>23</xdr:row>
      <xdr:rowOff>176883</xdr:rowOff>
    </xdr:from>
    <xdr:to>
      <xdr:col>25</xdr:col>
      <xdr:colOff>31361</xdr:colOff>
      <xdr:row>26</xdr:row>
      <xdr:rowOff>102857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 rot="19567932">
          <a:off x="3576289" y="4054919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1</xdr:col>
      <xdr:colOff>162195</xdr:colOff>
      <xdr:row>104</xdr:row>
      <xdr:rowOff>0</xdr:rowOff>
    </xdr:from>
    <xdr:to>
      <xdr:col>4</xdr:col>
      <xdr:colOff>161925</xdr:colOff>
      <xdr:row>104</xdr:row>
      <xdr:rowOff>57149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105</xdr:row>
      <xdr:rowOff>0</xdr:rowOff>
    </xdr:from>
    <xdr:to>
      <xdr:col>4</xdr:col>
      <xdr:colOff>161925</xdr:colOff>
      <xdr:row>105</xdr:row>
      <xdr:rowOff>57149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106</xdr:row>
      <xdr:rowOff>0</xdr:rowOff>
    </xdr:from>
    <xdr:to>
      <xdr:col>4</xdr:col>
      <xdr:colOff>161925</xdr:colOff>
      <xdr:row>106</xdr:row>
      <xdr:rowOff>57149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hfo.tnc.org\shared\Government%20Grants\NH%20Coastal%20Program%20Grants\2015_Coastal_Resilience\Tidal_Culvert_Assessment\Field%20Data%20Sheet\Sites\Tidal%20Crossing%20Excel_rev6_SitesCombin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 Matrix"/>
      <sheetName val="CB-CR"/>
      <sheetName val="CB-SA"/>
      <sheetName val="RH-HRO"/>
      <sheetName val="RH-HRW"/>
      <sheetName val="RH-1AS1"/>
      <sheetName val="RH-1AS2"/>
      <sheetName val="RH-1AN"/>
      <sheetName val="RH-LR"/>
      <sheetName val="LR-AA"/>
      <sheetName val="SCORING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omments" Target="../comments1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278"/>
  <sheetViews>
    <sheetView view="pageLayout" zoomScale="115" zoomScaleNormal="85" zoomScaleSheetLayoutView="85" zoomScalePageLayoutView="115" workbookViewId="0">
      <selection activeCell="AR47" sqref="AR47"/>
    </sheetView>
  </sheetViews>
  <sheetFormatPr defaultColWidth="2.7109375" defaultRowHeight="15" x14ac:dyDescent="0.25"/>
  <cols>
    <col min="20" max="20" width="2.7109375" customWidth="1"/>
  </cols>
  <sheetData>
    <row r="1" spans="1:34" ht="14.65" customHeight="1" x14ac:dyDescent="0.25">
      <c r="A1" s="352" t="s">
        <v>280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  <c r="AH1" s="353"/>
    </row>
    <row r="2" spans="1:34" x14ac:dyDescent="0.25">
      <c r="A2" s="353"/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</row>
    <row r="3" spans="1:34" x14ac:dyDescent="0.25">
      <c r="A3" s="353"/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</row>
    <row r="4" spans="1:34" s="53" customFormat="1" ht="15.75" thickBot="1" x14ac:dyDescent="0.3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</row>
    <row r="5" spans="1:34" s="53" customFormat="1" ht="15.75" customHeight="1" thickTop="1" thickBot="1" x14ac:dyDescent="0.3">
      <c r="A5" s="378" t="s">
        <v>217</v>
      </c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</row>
    <row r="6" spans="1:34" s="53" customFormat="1" ht="15.75" thickTop="1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</row>
    <row r="7" spans="1:34" x14ac:dyDescent="0.25">
      <c r="G7" s="346" t="s">
        <v>1</v>
      </c>
      <c r="H7" s="346"/>
      <c r="I7" s="346"/>
      <c r="J7" s="346"/>
      <c r="K7" s="382"/>
      <c r="L7" s="379"/>
      <c r="M7" s="380"/>
      <c r="N7" s="380"/>
      <c r="O7" s="380"/>
      <c r="P7" s="380"/>
      <c r="Q7" s="380"/>
      <c r="R7" s="380"/>
      <c r="S7" s="380"/>
      <c r="T7" s="380"/>
      <c r="U7" s="380"/>
      <c r="V7" s="380"/>
      <c r="W7" s="380"/>
      <c r="X7" s="380"/>
      <c r="Y7" s="380"/>
      <c r="Z7" s="380"/>
      <c r="AA7" s="381"/>
    </row>
    <row r="9" spans="1:34" x14ac:dyDescent="0.25">
      <c r="A9" s="354" t="s">
        <v>0</v>
      </c>
      <c r="B9" s="354"/>
      <c r="C9" s="354"/>
      <c r="D9" s="354"/>
      <c r="E9" s="354"/>
      <c r="F9" s="354"/>
      <c r="G9" s="371"/>
      <c r="H9" s="372"/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3"/>
      <c r="V9" s="364" t="s">
        <v>2</v>
      </c>
      <c r="W9" s="365"/>
      <c r="X9" s="365"/>
      <c r="Y9" s="366"/>
      <c r="Z9" s="355"/>
      <c r="AA9" s="356"/>
      <c r="AB9" s="356"/>
      <c r="AC9" s="356"/>
      <c r="AD9" s="356"/>
      <c r="AE9" s="356"/>
      <c r="AF9" s="356"/>
      <c r="AG9" s="356"/>
      <c r="AH9" s="357"/>
    </row>
    <row r="10" spans="1:34" x14ac:dyDescent="0.25">
      <c r="A10" s="354"/>
      <c r="B10" s="354"/>
      <c r="C10" s="354"/>
      <c r="D10" s="354"/>
      <c r="E10" s="354"/>
      <c r="F10" s="354"/>
      <c r="G10" s="374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6"/>
      <c r="V10" s="367" t="s">
        <v>3</v>
      </c>
      <c r="W10" s="296"/>
      <c r="X10" s="296"/>
      <c r="Y10" s="297"/>
      <c r="Z10" s="358"/>
      <c r="AA10" s="359"/>
      <c r="AB10" s="359"/>
      <c r="AC10" s="359"/>
      <c r="AD10" s="359"/>
      <c r="AE10" s="359"/>
      <c r="AF10" s="359"/>
      <c r="AG10" s="359"/>
      <c r="AH10" s="360"/>
    </row>
    <row r="11" spans="1:34" x14ac:dyDescent="0.25">
      <c r="A11" s="377" t="s">
        <v>169</v>
      </c>
      <c r="B11" s="377"/>
      <c r="C11" s="377"/>
      <c r="D11" s="377"/>
      <c r="E11" s="377"/>
      <c r="F11" s="377"/>
      <c r="G11" s="367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7"/>
      <c r="V11" s="368" t="s">
        <v>4</v>
      </c>
      <c r="W11" s="369"/>
      <c r="X11" s="369"/>
      <c r="Y11" s="370"/>
      <c r="Z11" s="361"/>
      <c r="AA11" s="362"/>
      <c r="AB11" s="362"/>
      <c r="AC11" s="362"/>
      <c r="AD11" s="362"/>
      <c r="AE11" s="362"/>
      <c r="AF11" s="362"/>
      <c r="AG11" s="362"/>
      <c r="AH11" s="363"/>
    </row>
    <row r="12" spans="1:34" x14ac:dyDescent="0.25">
      <c r="A12" s="291" t="s">
        <v>106</v>
      </c>
      <c r="B12" s="291"/>
      <c r="C12" s="291"/>
      <c r="D12" s="291"/>
      <c r="E12" s="291"/>
      <c r="F12" s="291"/>
      <c r="G12" s="367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7"/>
      <c r="V12" s="313" t="s">
        <v>124</v>
      </c>
      <c r="W12" s="314"/>
      <c r="X12" s="314"/>
      <c r="Y12" s="314"/>
      <c r="Z12" s="315"/>
      <c r="AA12" s="304" t="s">
        <v>90</v>
      </c>
      <c r="AB12" s="305"/>
      <c r="AC12" s="305"/>
      <c r="AD12" s="306"/>
      <c r="AE12" s="304" t="s">
        <v>88</v>
      </c>
      <c r="AF12" s="305"/>
      <c r="AG12" s="305"/>
      <c r="AH12" s="306"/>
    </row>
    <row r="13" spans="1:34" x14ac:dyDescent="0.25">
      <c r="A13" s="291" t="s">
        <v>107</v>
      </c>
      <c r="B13" s="291"/>
      <c r="C13" s="291"/>
      <c r="D13" s="291"/>
      <c r="E13" s="291"/>
      <c r="F13" s="291"/>
      <c r="G13" s="367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7"/>
      <c r="V13" s="493" t="s">
        <v>125</v>
      </c>
      <c r="W13" s="494"/>
      <c r="X13" s="494"/>
      <c r="Y13" s="494"/>
      <c r="Z13" s="495"/>
      <c r="AA13" s="307"/>
      <c r="AB13" s="308"/>
      <c r="AC13" s="308"/>
      <c r="AD13" s="309"/>
      <c r="AE13" s="310"/>
      <c r="AF13" s="311"/>
      <c r="AG13" s="311"/>
      <c r="AH13" s="312"/>
    </row>
    <row r="14" spans="1:34" x14ac:dyDescent="0.25">
      <c r="V14" s="503" t="s">
        <v>126</v>
      </c>
      <c r="W14" s="504"/>
      <c r="X14" s="504"/>
      <c r="Y14" s="504"/>
      <c r="Z14" s="505"/>
      <c r="AA14" s="506"/>
      <c r="AB14" s="507"/>
      <c r="AC14" s="507"/>
      <c r="AD14" s="508"/>
      <c r="AE14" s="506"/>
      <c r="AF14" s="507"/>
      <c r="AG14" s="507"/>
      <c r="AH14" s="508"/>
    </row>
    <row r="15" spans="1:34" s="37" customFormat="1" x14ac:dyDescent="0.25"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292" t="s">
        <v>127</v>
      </c>
      <c r="W15" s="293"/>
      <c r="X15" s="293"/>
      <c r="Y15" s="293"/>
      <c r="Z15" s="294"/>
      <c r="AA15" s="301"/>
      <c r="AB15" s="302"/>
      <c r="AC15" s="302"/>
      <c r="AD15" s="302"/>
      <c r="AE15" s="302"/>
      <c r="AF15" s="302"/>
      <c r="AG15" s="302"/>
      <c r="AH15" s="303"/>
    </row>
    <row r="16" spans="1:34" x14ac:dyDescent="0.25">
      <c r="A16" s="119" t="s">
        <v>202</v>
      </c>
      <c r="B16" s="5"/>
      <c r="C16" s="5"/>
      <c r="D16" s="5"/>
      <c r="E16" s="5"/>
      <c r="F16" s="5"/>
      <c r="G16" s="5"/>
      <c r="H16" s="5"/>
      <c r="I16" s="5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</row>
    <row r="17" spans="1:34" s="53" customFormat="1" ht="15" customHeight="1" x14ac:dyDescent="0.25">
      <c r="A17" s="236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8"/>
    </row>
    <row r="18" spans="1:34" s="53" customFormat="1" ht="15" customHeight="1" x14ac:dyDescent="0.25">
      <c r="A18" s="239"/>
      <c r="B18" s="240"/>
      <c r="C18" s="240"/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1"/>
    </row>
    <row r="19" spans="1:34" s="53" customFormat="1" ht="15" customHeight="1" x14ac:dyDescent="0.25">
      <c r="A19" s="239"/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1"/>
    </row>
    <row r="20" spans="1:34" s="53" customFormat="1" ht="15" customHeight="1" x14ac:dyDescent="0.25">
      <c r="A20" s="239"/>
      <c r="B20" s="240"/>
      <c r="C20" s="240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1"/>
    </row>
    <row r="21" spans="1:34" s="53" customFormat="1" ht="15" customHeight="1" x14ac:dyDescent="0.25">
      <c r="A21" s="239"/>
      <c r="B21" s="240"/>
      <c r="C21" s="240"/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AG21" s="240"/>
      <c r="AH21" s="241"/>
    </row>
    <row r="22" spans="1:34" s="53" customFormat="1" ht="15" customHeight="1" x14ac:dyDescent="0.25">
      <c r="A22" s="239"/>
      <c r="B22" s="240"/>
      <c r="C22" s="240"/>
      <c r="D22" s="240"/>
      <c r="E22" s="240"/>
      <c r="F22" s="240"/>
      <c r="G22" s="240"/>
      <c r="H22" s="240"/>
      <c r="I22" s="240"/>
      <c r="J22" s="240"/>
      <c r="K22" s="240"/>
      <c r="L22" s="240"/>
      <c r="M22" s="240"/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1"/>
    </row>
    <row r="23" spans="1:34" s="53" customFormat="1" ht="15" customHeight="1" x14ac:dyDescent="0.25">
      <c r="A23" s="239"/>
      <c r="B23" s="240"/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1"/>
    </row>
    <row r="24" spans="1:34" s="53" customFormat="1" ht="15" customHeight="1" x14ac:dyDescent="0.25">
      <c r="A24" s="239"/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/>
      <c r="AG24" s="240"/>
      <c r="AH24" s="241"/>
    </row>
    <row r="25" spans="1:34" s="53" customFormat="1" ht="15" customHeight="1" x14ac:dyDescent="0.25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40"/>
      <c r="AD25" s="240"/>
      <c r="AE25" s="240"/>
      <c r="AF25" s="240"/>
      <c r="AG25" s="240"/>
      <c r="AH25" s="241"/>
    </row>
    <row r="26" spans="1:34" s="53" customFormat="1" ht="15" customHeight="1" x14ac:dyDescent="0.25">
      <c r="A26" s="239"/>
      <c r="B26" s="240"/>
      <c r="C26" s="240"/>
      <c r="D26" s="240"/>
      <c r="E26" s="240"/>
      <c r="F26" s="240"/>
      <c r="G26" s="240"/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/>
      <c r="T26" s="240"/>
      <c r="U26" s="240"/>
      <c r="V26" s="240"/>
      <c r="W26" s="240"/>
      <c r="X26" s="240"/>
      <c r="Y26" s="240"/>
      <c r="Z26" s="240"/>
      <c r="AA26" s="240"/>
      <c r="AB26" s="240"/>
      <c r="AC26" s="240"/>
      <c r="AD26" s="240"/>
      <c r="AE26" s="240"/>
      <c r="AF26" s="240"/>
      <c r="AG26" s="240"/>
      <c r="AH26" s="241"/>
    </row>
    <row r="27" spans="1:34" s="53" customFormat="1" ht="15" customHeight="1" x14ac:dyDescent="0.25">
      <c r="A27" s="463"/>
      <c r="B27" s="464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4"/>
      <c r="N27" s="464"/>
      <c r="O27" s="464"/>
      <c r="P27" s="464"/>
      <c r="Q27" s="464"/>
      <c r="R27" s="464"/>
      <c r="S27" s="464"/>
      <c r="T27" s="464"/>
      <c r="U27" s="464"/>
      <c r="V27" s="464"/>
      <c r="W27" s="464"/>
      <c r="X27" s="464"/>
      <c r="Y27" s="464"/>
      <c r="Z27" s="464"/>
      <c r="AA27" s="464"/>
      <c r="AB27" s="464"/>
      <c r="AC27" s="464"/>
      <c r="AD27" s="464"/>
      <c r="AE27" s="464"/>
      <c r="AF27" s="464"/>
      <c r="AG27" s="464"/>
      <c r="AH27" s="465"/>
    </row>
    <row r="28" spans="1:34" s="53" customFormat="1" ht="15" customHeight="1" thickBot="1" x14ac:dyDescent="0.3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</row>
    <row r="29" spans="1:34" s="37" customFormat="1" ht="15.75" customHeight="1" thickTop="1" thickBot="1" x14ac:dyDescent="0.3">
      <c r="A29" s="378" t="s">
        <v>218</v>
      </c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  <c r="AA29" s="378"/>
      <c r="AB29" s="378"/>
      <c r="AC29" s="378"/>
      <c r="AD29" s="378"/>
      <c r="AE29" s="378"/>
      <c r="AF29" s="378"/>
      <c r="AG29" s="378"/>
      <c r="AH29" s="378"/>
    </row>
    <row r="30" spans="1:34" s="37" customFormat="1" ht="15.75" thickTop="1" x14ac:dyDescent="0.25">
      <c r="A30" s="114" t="s">
        <v>168</v>
      </c>
      <c r="V30" s="115" t="s">
        <v>197</v>
      </c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 s="37" customFormat="1" x14ac:dyDescent="0.25">
      <c r="A31" s="295" t="s">
        <v>131</v>
      </c>
      <c r="B31" s="296"/>
      <c r="C31" s="296"/>
      <c r="D31" s="296"/>
      <c r="E31" s="296"/>
      <c r="F31" s="296"/>
      <c r="G31" s="297"/>
      <c r="H31" s="559" t="s">
        <v>272</v>
      </c>
      <c r="I31" s="559"/>
      <c r="J31" s="559"/>
      <c r="K31" s="559"/>
      <c r="L31" s="559"/>
      <c r="M31" s="559"/>
      <c r="N31" s="559"/>
      <c r="O31" s="559"/>
      <c r="P31" s="559"/>
      <c r="Q31" s="559"/>
      <c r="R31" s="559"/>
      <c r="S31" s="559"/>
      <c r="T31" s="559"/>
      <c r="U31" s="559"/>
      <c r="V31" s="298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300"/>
    </row>
    <row r="32" spans="1:34" s="37" customFormat="1" x14ac:dyDescent="0.25">
      <c r="A32" s="295" t="s">
        <v>132</v>
      </c>
      <c r="B32" s="296"/>
      <c r="C32" s="296"/>
      <c r="D32" s="296"/>
      <c r="E32" s="296"/>
      <c r="F32" s="296"/>
      <c r="G32" s="297"/>
      <c r="H32" s="559" t="s">
        <v>128</v>
      </c>
      <c r="I32" s="559"/>
      <c r="J32" s="559"/>
      <c r="K32" s="559"/>
      <c r="L32" s="559"/>
      <c r="M32" s="559"/>
      <c r="N32" s="559"/>
      <c r="O32" s="559"/>
      <c r="P32" s="559"/>
      <c r="Q32" s="559"/>
      <c r="R32" s="559"/>
      <c r="S32" s="559"/>
      <c r="T32" s="559"/>
      <c r="U32" s="559"/>
      <c r="V32" s="298"/>
      <c r="W32" s="299"/>
      <c r="X32" s="299"/>
      <c r="Y32" s="299"/>
      <c r="Z32" s="299"/>
      <c r="AA32" s="299"/>
      <c r="AB32" s="299"/>
      <c r="AC32" s="299"/>
      <c r="AD32" s="299"/>
      <c r="AE32" s="299"/>
      <c r="AF32" s="299"/>
      <c r="AG32" s="299"/>
      <c r="AH32" s="300"/>
    </row>
    <row r="33" spans="1:34" s="37" customFormat="1" x14ac:dyDescent="0.25">
      <c r="A33" s="295" t="s">
        <v>133</v>
      </c>
      <c r="B33" s="296"/>
      <c r="C33" s="296"/>
      <c r="D33" s="296"/>
      <c r="E33" s="296"/>
      <c r="F33" s="296"/>
      <c r="G33" s="297"/>
      <c r="H33" s="559" t="s">
        <v>129</v>
      </c>
      <c r="I33" s="559"/>
      <c r="J33" s="559"/>
      <c r="K33" s="559"/>
      <c r="L33" s="559"/>
      <c r="M33" s="559"/>
      <c r="N33" s="559"/>
      <c r="O33" s="559"/>
      <c r="P33" s="559"/>
      <c r="Q33" s="559"/>
      <c r="R33" s="559"/>
      <c r="S33" s="559"/>
      <c r="T33" s="559"/>
      <c r="U33" s="559"/>
      <c r="V33" s="298"/>
      <c r="W33" s="299"/>
      <c r="X33" s="299"/>
      <c r="Y33" s="299"/>
      <c r="Z33" s="299"/>
      <c r="AA33" s="299"/>
      <c r="AB33" s="299"/>
      <c r="AC33" s="299"/>
      <c r="AD33" s="299"/>
      <c r="AE33" s="299"/>
      <c r="AF33" s="299"/>
      <c r="AG33" s="299"/>
      <c r="AH33" s="300"/>
    </row>
    <row r="34" spans="1:34" s="37" customFormat="1" x14ac:dyDescent="0.25">
      <c r="A34" s="295" t="s">
        <v>134</v>
      </c>
      <c r="B34" s="296"/>
      <c r="C34" s="296"/>
      <c r="D34" s="296"/>
      <c r="E34" s="296"/>
      <c r="F34" s="296"/>
      <c r="G34" s="297"/>
      <c r="H34" s="559" t="s">
        <v>130</v>
      </c>
      <c r="I34" s="559"/>
      <c r="J34" s="559"/>
      <c r="K34" s="559"/>
      <c r="L34" s="559"/>
      <c r="M34" s="559"/>
      <c r="N34" s="559"/>
      <c r="O34" s="559"/>
      <c r="P34" s="559"/>
      <c r="Q34" s="559"/>
      <c r="R34" s="559"/>
      <c r="S34" s="559"/>
      <c r="T34" s="559"/>
      <c r="U34" s="559"/>
      <c r="V34" s="298"/>
      <c r="W34" s="299"/>
      <c r="X34" s="299"/>
      <c r="Y34" s="299"/>
      <c r="Z34" s="299"/>
      <c r="AA34" s="299"/>
      <c r="AB34" s="299"/>
      <c r="AC34" s="299"/>
      <c r="AD34" s="299"/>
      <c r="AE34" s="299"/>
      <c r="AF34" s="299"/>
      <c r="AG34" s="299"/>
      <c r="AH34" s="300"/>
    </row>
    <row r="35" spans="1:34" s="37" customFormat="1" x14ac:dyDescent="0.25">
      <c r="A35" s="295"/>
      <c r="B35" s="556"/>
      <c r="C35" s="556"/>
      <c r="D35" s="556"/>
      <c r="E35" s="556"/>
      <c r="F35" s="556"/>
      <c r="G35" s="557"/>
      <c r="H35" s="558" t="s">
        <v>196</v>
      </c>
      <c r="I35" s="559"/>
      <c r="J35" s="559"/>
      <c r="K35" s="559"/>
      <c r="L35" s="559"/>
      <c r="M35" s="559"/>
      <c r="N35" s="559"/>
      <c r="O35" s="559"/>
      <c r="P35" s="559"/>
      <c r="Q35" s="559"/>
      <c r="R35" s="559"/>
      <c r="S35" s="559"/>
      <c r="T35" s="559"/>
      <c r="U35" s="559"/>
      <c r="V35" s="298"/>
      <c r="W35" s="299"/>
      <c r="X35" s="299"/>
      <c r="Y35" s="299"/>
      <c r="Z35" s="299"/>
      <c r="AA35" s="299"/>
      <c r="AB35" s="299"/>
      <c r="AC35" s="299"/>
      <c r="AD35" s="299"/>
      <c r="AE35" s="299"/>
      <c r="AF35" s="299"/>
      <c r="AG35" s="299"/>
      <c r="AH35" s="300"/>
    </row>
    <row r="36" spans="1:34" s="53" customFormat="1" x14ac:dyDescent="0.25">
      <c r="A36" s="295" t="s">
        <v>114</v>
      </c>
      <c r="B36" s="296"/>
      <c r="C36" s="296"/>
      <c r="D36" s="296"/>
      <c r="E36" s="296"/>
      <c r="F36" s="296"/>
      <c r="G36" s="297"/>
      <c r="H36" s="558" t="s">
        <v>196</v>
      </c>
      <c r="I36" s="559"/>
      <c r="J36" s="559"/>
      <c r="K36" s="559"/>
      <c r="L36" s="559"/>
      <c r="M36" s="559"/>
      <c r="N36" s="559"/>
      <c r="O36" s="559"/>
      <c r="P36" s="559"/>
      <c r="Q36" s="559"/>
      <c r="R36" s="559"/>
      <c r="S36" s="559"/>
      <c r="T36" s="559"/>
      <c r="U36" s="559"/>
      <c r="V36" s="298"/>
      <c r="W36" s="299"/>
      <c r="X36" s="299"/>
      <c r="Y36" s="299"/>
      <c r="Z36" s="299"/>
      <c r="AA36" s="299"/>
      <c r="AB36" s="299"/>
      <c r="AC36" s="299"/>
      <c r="AD36" s="299"/>
      <c r="AE36" s="299"/>
      <c r="AF36" s="299"/>
      <c r="AG36" s="299"/>
      <c r="AH36" s="300"/>
    </row>
    <row r="37" spans="1:34" s="53" customFormat="1" x14ac:dyDescent="0.25">
      <c r="A37" s="295" t="s">
        <v>114</v>
      </c>
      <c r="B37" s="296"/>
      <c r="C37" s="296"/>
      <c r="D37" s="296"/>
      <c r="E37" s="296"/>
      <c r="F37" s="296"/>
      <c r="G37" s="297"/>
      <c r="H37" s="558" t="s">
        <v>196</v>
      </c>
      <c r="I37" s="559"/>
      <c r="J37" s="559"/>
      <c r="K37" s="559"/>
      <c r="L37" s="559"/>
      <c r="M37" s="559"/>
      <c r="N37" s="559"/>
      <c r="O37" s="559"/>
      <c r="P37" s="559"/>
      <c r="Q37" s="559"/>
      <c r="R37" s="559"/>
      <c r="S37" s="559"/>
      <c r="T37" s="559"/>
      <c r="U37" s="559"/>
      <c r="V37" s="298"/>
      <c r="W37" s="299"/>
      <c r="X37" s="299"/>
      <c r="Y37" s="299"/>
      <c r="Z37" s="299"/>
      <c r="AA37" s="299"/>
      <c r="AB37" s="299"/>
      <c r="AC37" s="299"/>
      <c r="AD37" s="299"/>
      <c r="AE37" s="299"/>
      <c r="AF37" s="299"/>
      <c r="AG37" s="299"/>
      <c r="AH37" s="300"/>
    </row>
    <row r="38" spans="1:34" s="53" customFormat="1" x14ac:dyDescent="0.25">
      <c r="A38" s="295" t="s">
        <v>114</v>
      </c>
      <c r="B38" s="296"/>
      <c r="C38" s="296"/>
      <c r="D38" s="296"/>
      <c r="E38" s="296"/>
      <c r="F38" s="296"/>
      <c r="G38" s="297"/>
      <c r="H38" s="558" t="s">
        <v>196</v>
      </c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59"/>
      <c r="V38" s="298"/>
      <c r="W38" s="299"/>
      <c r="X38" s="299"/>
      <c r="Y38" s="299"/>
      <c r="Z38" s="299"/>
      <c r="AA38" s="299"/>
      <c r="AB38" s="299"/>
      <c r="AC38" s="299"/>
      <c r="AD38" s="299"/>
      <c r="AE38" s="299"/>
      <c r="AF38" s="299"/>
      <c r="AG38" s="299"/>
      <c r="AH38" s="300"/>
    </row>
    <row r="39" spans="1:34" s="53" customFormat="1" x14ac:dyDescent="0.25">
      <c r="A39" s="295" t="s">
        <v>114</v>
      </c>
      <c r="B39" s="296"/>
      <c r="C39" s="296"/>
      <c r="D39" s="296"/>
      <c r="E39" s="296"/>
      <c r="F39" s="296"/>
      <c r="G39" s="297"/>
      <c r="H39" s="558" t="s">
        <v>196</v>
      </c>
      <c r="I39" s="559"/>
      <c r="J39" s="559"/>
      <c r="K39" s="559"/>
      <c r="L39" s="559"/>
      <c r="M39" s="559"/>
      <c r="N39" s="559"/>
      <c r="O39" s="559"/>
      <c r="P39" s="559"/>
      <c r="Q39" s="559"/>
      <c r="R39" s="559"/>
      <c r="S39" s="559"/>
      <c r="T39" s="559"/>
      <c r="U39" s="559"/>
      <c r="V39" s="298"/>
      <c r="W39" s="299"/>
      <c r="X39" s="299"/>
      <c r="Y39" s="299"/>
      <c r="Z39" s="299"/>
      <c r="AA39" s="299"/>
      <c r="AB39" s="299"/>
      <c r="AC39" s="299"/>
      <c r="AD39" s="299"/>
      <c r="AE39" s="299"/>
      <c r="AF39" s="299"/>
      <c r="AG39" s="299"/>
      <c r="AH39" s="300"/>
    </row>
    <row r="40" spans="1:34" s="37" customFormat="1" x14ac:dyDescent="0.25">
      <c r="A40" s="565"/>
      <c r="B40" s="559"/>
      <c r="C40" s="559"/>
      <c r="D40" s="559"/>
      <c r="E40" s="559"/>
      <c r="F40" s="559"/>
      <c r="G40" s="559"/>
      <c r="H40" s="558" t="s">
        <v>196</v>
      </c>
      <c r="I40" s="559"/>
      <c r="J40" s="559"/>
      <c r="K40" s="559"/>
      <c r="L40" s="559"/>
      <c r="M40" s="559"/>
      <c r="N40" s="559"/>
      <c r="O40" s="559"/>
      <c r="P40" s="559"/>
      <c r="Q40" s="559"/>
      <c r="R40" s="559"/>
      <c r="S40" s="559"/>
      <c r="T40" s="559"/>
      <c r="U40" s="559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  <c r="AF40" s="561"/>
      <c r="AG40" s="561"/>
      <c r="AH40" s="561"/>
    </row>
    <row r="41" spans="1:34" s="53" customFormat="1" ht="15" customHeight="1" x14ac:dyDescent="0.25">
      <c r="A41" s="10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</row>
    <row r="42" spans="1:34" s="53" customFormat="1" ht="6" customHeight="1" x14ac:dyDescent="0.25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6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</row>
    <row r="43" spans="1:34" s="53" customFormat="1" ht="6" customHeight="1" thickBot="1" x14ac:dyDescent="0.3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</row>
    <row r="44" spans="1:34" s="53" customFormat="1" ht="15.75" customHeight="1" thickTop="1" thickBot="1" x14ac:dyDescent="0.3">
      <c r="A44" s="318" t="s">
        <v>219</v>
      </c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  <c r="AE44" s="318"/>
      <c r="AF44" s="318"/>
      <c r="AG44" s="318"/>
      <c r="AH44" s="318"/>
    </row>
    <row r="45" spans="1:34" s="53" customFormat="1" ht="6" customHeight="1" thickTop="1" x14ac:dyDescent="0.25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6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</row>
    <row r="46" spans="1:34" s="37" customFormat="1" ht="15" customHeight="1" x14ac:dyDescent="0.25">
      <c r="A46" s="566" t="s">
        <v>113</v>
      </c>
      <c r="B46" s="566"/>
      <c r="C46" s="566"/>
      <c r="D46" s="567"/>
      <c r="E46" s="350"/>
      <c r="F46" s="351"/>
      <c r="G46" s="329" t="s">
        <v>112</v>
      </c>
      <c r="H46" s="330"/>
      <c r="I46" s="350"/>
      <c r="J46" s="351"/>
      <c r="K46" s="348" t="s">
        <v>115</v>
      </c>
      <c r="L46" s="349"/>
      <c r="M46" s="349"/>
      <c r="N46" s="349"/>
      <c r="O46" s="349"/>
      <c r="S46" s="6"/>
      <c r="T46" s="69" t="s">
        <v>85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4" s="37" customFormat="1" ht="15" customHeight="1" thickBot="1" x14ac:dyDescent="0.3">
      <c r="S47" s="43"/>
      <c r="T47" s="35"/>
      <c r="U47" s="35"/>
      <c r="V47" s="35"/>
      <c r="W47" s="35"/>
      <c r="X47" s="35"/>
      <c r="Y47" s="337" t="s">
        <v>11</v>
      </c>
      <c r="Z47" s="337"/>
      <c r="AA47" s="337"/>
      <c r="AB47" s="337"/>
      <c r="AC47" s="334" t="s">
        <v>12</v>
      </c>
      <c r="AD47" s="334"/>
      <c r="AE47" s="334"/>
      <c r="AF47" s="334"/>
    </row>
    <row r="48" spans="1:34" s="37" customFormat="1" ht="15" customHeight="1" x14ac:dyDescent="0.25">
      <c r="A48" s="65" t="s">
        <v>63</v>
      </c>
      <c r="B48" s="34"/>
      <c r="C48" s="34"/>
      <c r="D48" s="34"/>
      <c r="E48" s="34"/>
      <c r="F48" s="34"/>
      <c r="G48" s="34"/>
      <c r="H48" s="34"/>
      <c r="I48" s="34"/>
      <c r="J48" s="34"/>
      <c r="S48" s="289" t="s">
        <v>82</v>
      </c>
      <c r="T48" s="289"/>
      <c r="U48" s="289"/>
      <c r="V48" s="289"/>
      <c r="W48" s="289"/>
      <c r="X48" s="290"/>
      <c r="Y48" s="338"/>
      <c r="Z48" s="339"/>
      <c r="AA48" s="339"/>
      <c r="AB48" s="340"/>
      <c r="AC48" s="341"/>
      <c r="AD48" s="342"/>
      <c r="AE48" s="342"/>
      <c r="AF48" s="343"/>
    </row>
    <row r="49" spans="1:43" s="37" customFormat="1" ht="15" customHeight="1" x14ac:dyDescent="0.25">
      <c r="A49" s="560">
        <v>1</v>
      </c>
      <c r="B49" s="560"/>
      <c r="C49" s="560"/>
      <c r="D49" s="560"/>
      <c r="E49" s="560"/>
      <c r="F49" s="560"/>
      <c r="G49" s="560"/>
      <c r="H49" s="560"/>
      <c r="I49" s="560"/>
      <c r="J49" s="34"/>
      <c r="K49" s="65" t="s">
        <v>72</v>
      </c>
      <c r="L49" s="34"/>
      <c r="M49" s="34"/>
      <c r="N49" s="34"/>
      <c r="O49" s="34"/>
      <c r="P49" s="34"/>
      <c r="Q49" s="34"/>
      <c r="R49" s="34"/>
      <c r="S49" s="289" t="s">
        <v>200</v>
      </c>
      <c r="T49" s="289"/>
      <c r="U49" s="289"/>
      <c r="V49" s="289"/>
      <c r="W49" s="289"/>
      <c r="X49" s="290"/>
      <c r="Y49" s="331"/>
      <c r="Z49" s="332"/>
      <c r="AA49" s="332"/>
      <c r="AB49" s="333"/>
      <c r="AC49" s="320"/>
      <c r="AD49" s="321"/>
      <c r="AE49" s="321"/>
      <c r="AF49" s="322"/>
    </row>
    <row r="50" spans="1:43" s="37" customFormat="1" ht="15" customHeight="1" x14ac:dyDescent="0.25">
      <c r="A50" s="560"/>
      <c r="B50" s="560"/>
      <c r="C50" s="560"/>
      <c r="D50" s="560"/>
      <c r="E50" s="560"/>
      <c r="F50" s="560"/>
      <c r="G50" s="560"/>
      <c r="H50" s="560"/>
      <c r="I50" s="560"/>
      <c r="J50" s="34"/>
      <c r="K50" s="560">
        <v>1</v>
      </c>
      <c r="L50" s="560"/>
      <c r="M50" s="560"/>
      <c r="N50" s="560"/>
      <c r="O50" s="560"/>
      <c r="P50" s="560"/>
      <c r="Q50" s="560"/>
      <c r="R50" s="560"/>
      <c r="S50" s="289" t="s">
        <v>201</v>
      </c>
      <c r="T50" s="289"/>
      <c r="U50" s="289"/>
      <c r="V50" s="289"/>
      <c r="W50" s="289"/>
      <c r="X50" s="290"/>
      <c r="Y50" s="331"/>
      <c r="Z50" s="332"/>
      <c r="AA50" s="332"/>
      <c r="AB50" s="333"/>
      <c r="AC50" s="320"/>
      <c r="AD50" s="321"/>
      <c r="AE50" s="321"/>
      <c r="AF50" s="322"/>
    </row>
    <row r="51" spans="1:43" s="37" customFormat="1" ht="15" customHeight="1" x14ac:dyDescent="0.25">
      <c r="A51" s="560"/>
      <c r="B51" s="560"/>
      <c r="C51" s="560"/>
      <c r="D51" s="560"/>
      <c r="E51" s="560"/>
      <c r="F51" s="560"/>
      <c r="G51" s="560"/>
      <c r="H51" s="560"/>
      <c r="I51" s="560"/>
      <c r="J51" s="34"/>
      <c r="K51" s="560"/>
      <c r="L51" s="560"/>
      <c r="M51" s="560"/>
      <c r="N51" s="560"/>
      <c r="O51" s="560"/>
      <c r="P51" s="560"/>
      <c r="Q51" s="560"/>
      <c r="R51" s="560"/>
      <c r="S51" s="289" t="s">
        <v>83</v>
      </c>
      <c r="T51" s="289"/>
      <c r="U51" s="289"/>
      <c r="V51" s="289"/>
      <c r="W51" s="289"/>
      <c r="X51" s="290"/>
      <c r="Y51" s="331"/>
      <c r="Z51" s="332"/>
      <c r="AA51" s="332"/>
      <c r="AB51" s="333"/>
      <c r="AC51" s="320"/>
      <c r="AD51" s="321"/>
      <c r="AE51" s="321"/>
      <c r="AF51" s="322"/>
    </row>
    <row r="52" spans="1:43" s="37" customFormat="1" ht="15" customHeight="1" thickBot="1" x14ac:dyDescent="0.3">
      <c r="A52" s="560"/>
      <c r="B52" s="560"/>
      <c r="C52" s="560"/>
      <c r="D52" s="560"/>
      <c r="E52" s="560"/>
      <c r="F52" s="560"/>
      <c r="G52" s="560"/>
      <c r="H52" s="560"/>
      <c r="I52" s="560"/>
      <c r="J52" s="34"/>
      <c r="K52" s="560"/>
      <c r="L52" s="560"/>
      <c r="M52" s="560"/>
      <c r="N52" s="560"/>
      <c r="O52" s="560"/>
      <c r="P52" s="560"/>
      <c r="Q52" s="560"/>
      <c r="R52" s="560"/>
      <c r="S52" s="289" t="s">
        <v>84</v>
      </c>
      <c r="T52" s="289"/>
      <c r="U52" s="289"/>
      <c r="V52" s="289"/>
      <c r="W52" s="289"/>
      <c r="X52" s="290"/>
      <c r="Y52" s="323"/>
      <c r="Z52" s="324"/>
      <c r="AA52" s="324"/>
      <c r="AB52" s="325"/>
      <c r="AC52" s="562"/>
      <c r="AD52" s="563"/>
      <c r="AE52" s="563"/>
      <c r="AF52" s="564"/>
    </row>
    <row r="53" spans="1:43" s="37" customFormat="1" ht="15" customHeight="1" x14ac:dyDescent="0.25">
      <c r="A53" s="560"/>
      <c r="B53" s="560"/>
      <c r="C53" s="560"/>
      <c r="D53" s="560"/>
      <c r="E53" s="560"/>
      <c r="F53" s="560"/>
      <c r="G53" s="560"/>
      <c r="H53" s="560"/>
      <c r="I53" s="560"/>
      <c r="J53" s="34"/>
      <c r="K53" s="560"/>
      <c r="L53" s="560"/>
      <c r="M53" s="560"/>
      <c r="N53" s="560"/>
      <c r="O53" s="560"/>
      <c r="P53" s="560"/>
      <c r="Q53" s="560"/>
      <c r="R53" s="560"/>
      <c r="S53" s="43"/>
      <c r="AM53" s="67"/>
      <c r="AN53" s="67"/>
      <c r="AO53" s="67"/>
      <c r="AP53" s="67"/>
      <c r="AQ53" s="67"/>
    </row>
    <row r="54" spans="1:43" s="37" customFormat="1" ht="15" customHeight="1" x14ac:dyDescent="0.25">
      <c r="A54" s="560"/>
      <c r="B54" s="560"/>
      <c r="C54" s="560"/>
      <c r="D54" s="560"/>
      <c r="E54" s="560"/>
      <c r="F54" s="560"/>
      <c r="G54" s="560"/>
      <c r="H54" s="560"/>
      <c r="I54" s="560"/>
      <c r="J54" s="34"/>
      <c r="K54" s="560"/>
      <c r="L54" s="560"/>
      <c r="M54" s="560"/>
      <c r="N54" s="560"/>
      <c r="O54" s="560"/>
      <c r="P54" s="560"/>
      <c r="Q54" s="560"/>
      <c r="R54" s="560"/>
      <c r="S54" s="43"/>
      <c r="V54" s="34"/>
      <c r="W54" s="34"/>
      <c r="X54" s="34"/>
      <c r="Y54" s="34"/>
      <c r="Z54" s="344" t="s">
        <v>11</v>
      </c>
      <c r="AA54" s="344"/>
      <c r="AB54" s="344"/>
      <c r="AC54" s="344"/>
      <c r="AD54" s="345" t="s">
        <v>12</v>
      </c>
      <c r="AE54" s="345"/>
      <c r="AF54" s="345"/>
      <c r="AG54" s="345"/>
    </row>
    <row r="55" spans="1:43" s="37" customFormat="1" ht="15" customHeight="1" x14ac:dyDescent="0.25">
      <c r="A55" s="560"/>
      <c r="B55" s="560"/>
      <c r="C55" s="560"/>
      <c r="D55" s="560"/>
      <c r="E55" s="560"/>
      <c r="F55" s="560"/>
      <c r="G55" s="560"/>
      <c r="H55" s="560"/>
      <c r="I55" s="560"/>
      <c r="J55" s="34"/>
      <c r="K55" s="560"/>
      <c r="L55" s="560"/>
      <c r="M55" s="560"/>
      <c r="N55" s="560"/>
      <c r="O55" s="560"/>
      <c r="P55" s="560"/>
      <c r="Q55" s="560"/>
      <c r="R55" s="560"/>
      <c r="S55" s="41"/>
      <c r="T55" s="346" t="s">
        <v>135</v>
      </c>
      <c r="U55" s="346"/>
      <c r="V55" s="346"/>
      <c r="W55" s="346"/>
      <c r="X55" s="346"/>
      <c r="Y55" s="347"/>
      <c r="Z55" s="335"/>
      <c r="AA55" s="332"/>
      <c r="AB55" s="332"/>
      <c r="AC55" s="333"/>
      <c r="AD55" s="320"/>
      <c r="AE55" s="321"/>
      <c r="AF55" s="321"/>
      <c r="AG55" s="336"/>
    </row>
    <row r="56" spans="1:43" s="37" customFormat="1" ht="15" customHeight="1" x14ac:dyDescent="0.25">
      <c r="A56" s="560"/>
      <c r="B56" s="560"/>
      <c r="C56" s="560"/>
      <c r="D56" s="560"/>
      <c r="E56" s="560"/>
      <c r="F56" s="560"/>
      <c r="G56" s="560"/>
      <c r="H56" s="560"/>
      <c r="I56" s="560"/>
      <c r="J56" s="34"/>
      <c r="K56" s="560"/>
      <c r="L56" s="560"/>
      <c r="M56" s="560"/>
      <c r="N56" s="560"/>
      <c r="O56" s="560"/>
      <c r="P56" s="560"/>
      <c r="Q56" s="560"/>
      <c r="R56" s="560"/>
      <c r="S56" s="35"/>
      <c r="T56" s="346" t="s">
        <v>136</v>
      </c>
      <c r="U56" s="346"/>
      <c r="V56" s="346"/>
      <c r="W56" s="346"/>
      <c r="X56" s="346"/>
      <c r="Y56" s="347"/>
      <c r="Z56" s="594" t="s">
        <v>91</v>
      </c>
      <c r="AA56" s="595"/>
      <c r="AB56" s="595"/>
      <c r="AC56" s="596"/>
      <c r="AD56" s="320"/>
      <c r="AE56" s="321"/>
      <c r="AF56" s="321"/>
      <c r="AG56" s="336"/>
    </row>
    <row r="57" spans="1:43" s="37" customFormat="1" ht="15" customHeight="1" x14ac:dyDescent="0.25">
      <c r="A57" s="560"/>
      <c r="B57" s="560"/>
      <c r="C57" s="560"/>
      <c r="D57" s="560"/>
      <c r="E57" s="560"/>
      <c r="F57" s="560"/>
      <c r="G57" s="560"/>
      <c r="H57" s="560"/>
      <c r="I57" s="560"/>
      <c r="J57" s="41"/>
      <c r="K57" s="41"/>
      <c r="L57" s="41"/>
      <c r="M57" s="41"/>
      <c r="N57" s="41"/>
      <c r="O57" s="41"/>
      <c r="P57" s="41"/>
      <c r="Q57" s="41"/>
      <c r="R57" s="41"/>
      <c r="S57" s="35"/>
    </row>
    <row r="58" spans="1:43" s="37" customFormat="1" ht="15" customHeight="1" x14ac:dyDescent="0.25">
      <c r="A58" s="560"/>
      <c r="B58" s="560"/>
      <c r="C58" s="560"/>
      <c r="D58" s="560"/>
      <c r="E58" s="560"/>
      <c r="F58" s="560"/>
      <c r="G58" s="560"/>
      <c r="H58" s="560"/>
      <c r="I58" s="560"/>
      <c r="Q58" s="46"/>
      <c r="S58" s="35"/>
    </row>
    <row r="59" spans="1:43" s="37" customFormat="1" ht="15" customHeight="1" x14ac:dyDescent="0.25">
      <c r="A59" s="103"/>
      <c r="B59" s="555" t="s">
        <v>101</v>
      </c>
      <c r="C59" s="555"/>
      <c r="D59" s="555"/>
      <c r="E59" s="555"/>
      <c r="F59" s="555"/>
      <c r="G59" s="555"/>
      <c r="H59" s="103"/>
      <c r="I59" s="268" t="s">
        <v>105</v>
      </c>
      <c r="J59" s="268"/>
      <c r="K59" s="268"/>
      <c r="L59" s="268"/>
      <c r="M59" s="103"/>
      <c r="N59" s="555" t="s">
        <v>177</v>
      </c>
      <c r="O59" s="555"/>
      <c r="P59" s="555"/>
      <c r="Q59" s="555"/>
      <c r="R59" s="555"/>
      <c r="S59" s="555"/>
      <c r="T59" s="103"/>
      <c r="U59" s="268" t="s">
        <v>179</v>
      </c>
      <c r="V59" s="268"/>
      <c r="W59" s="268"/>
      <c r="X59" s="268"/>
      <c r="Y59" s="268" t="s">
        <v>190</v>
      </c>
      <c r="Z59" s="268"/>
      <c r="AA59" s="268"/>
      <c r="AB59" s="268"/>
      <c r="AC59" s="268"/>
      <c r="AD59" s="268" t="s">
        <v>189</v>
      </c>
      <c r="AE59" s="268"/>
      <c r="AF59" s="268"/>
      <c r="AG59" s="268"/>
      <c r="AH59" s="268"/>
    </row>
    <row r="60" spans="1:43" s="37" customFormat="1" ht="15" customHeight="1" x14ac:dyDescent="0.25">
      <c r="A60" s="103"/>
      <c r="B60" s="555"/>
      <c r="C60" s="555"/>
      <c r="D60" s="555"/>
      <c r="E60" s="555"/>
      <c r="F60" s="555"/>
      <c r="G60" s="555"/>
      <c r="H60" s="103"/>
      <c r="I60" s="268"/>
      <c r="J60" s="268"/>
      <c r="K60" s="268"/>
      <c r="L60" s="268"/>
      <c r="M60" s="103"/>
      <c r="N60" s="555"/>
      <c r="O60" s="555"/>
      <c r="P60" s="555"/>
      <c r="Q60" s="555"/>
      <c r="R60" s="555"/>
      <c r="S60" s="555"/>
      <c r="T60" s="103"/>
      <c r="U60" s="268"/>
      <c r="V60" s="268"/>
      <c r="W60" s="268"/>
      <c r="X60" s="268"/>
      <c r="Y60" s="268"/>
      <c r="Z60" s="268"/>
      <c r="AA60" s="268"/>
      <c r="AB60" s="268"/>
      <c r="AC60" s="268"/>
      <c r="AD60" s="268"/>
      <c r="AE60" s="268"/>
      <c r="AF60" s="268"/>
      <c r="AG60" s="268"/>
      <c r="AH60" s="268"/>
    </row>
    <row r="61" spans="1:43" s="37" customFormat="1" ht="15" customHeight="1" x14ac:dyDescent="0.25">
      <c r="A61" s="319" t="s">
        <v>187</v>
      </c>
      <c r="B61" s="317">
        <v>1</v>
      </c>
      <c r="C61" s="317"/>
      <c r="D61" s="317"/>
      <c r="E61" s="317"/>
      <c r="F61" s="317"/>
      <c r="G61" s="317"/>
      <c r="H61" s="104"/>
      <c r="I61" s="104"/>
      <c r="J61" s="104"/>
      <c r="K61" s="104"/>
      <c r="L61" s="104"/>
      <c r="M61" s="104"/>
      <c r="N61" s="317">
        <v>1</v>
      </c>
      <c r="O61" s="317"/>
      <c r="P61" s="317"/>
      <c r="Q61" s="317"/>
      <c r="R61" s="317"/>
      <c r="S61" s="317"/>
      <c r="T61" s="108"/>
      <c r="U61" s="104"/>
      <c r="V61" s="104"/>
      <c r="W61" s="104"/>
      <c r="X61" s="104"/>
      <c r="Y61" s="317">
        <v>1</v>
      </c>
      <c r="Z61" s="317"/>
      <c r="AA61" s="317"/>
      <c r="AB61" s="317"/>
      <c r="AC61" s="317"/>
      <c r="AD61" s="104"/>
      <c r="AE61" s="104"/>
      <c r="AF61" s="104"/>
      <c r="AG61" s="104"/>
      <c r="AH61" s="104"/>
    </row>
    <row r="62" spans="1:43" s="37" customFormat="1" x14ac:dyDescent="0.25">
      <c r="A62" s="319"/>
      <c r="B62" s="317"/>
      <c r="C62" s="317"/>
      <c r="D62" s="317"/>
      <c r="E62" s="317"/>
      <c r="F62" s="317"/>
      <c r="G62" s="317"/>
      <c r="H62" s="104"/>
      <c r="I62" s="316">
        <v>1</v>
      </c>
      <c r="J62" s="316"/>
      <c r="K62" s="316"/>
      <c r="L62" s="316"/>
      <c r="M62" s="104"/>
      <c r="N62" s="317"/>
      <c r="O62" s="317"/>
      <c r="P62" s="317"/>
      <c r="Q62" s="317"/>
      <c r="R62" s="317"/>
      <c r="S62" s="317"/>
      <c r="T62" s="109"/>
      <c r="U62" s="316">
        <v>1</v>
      </c>
      <c r="V62" s="316"/>
      <c r="W62" s="316"/>
      <c r="X62" s="316"/>
      <c r="Y62" s="317"/>
      <c r="Z62" s="317"/>
      <c r="AA62" s="317"/>
      <c r="AB62" s="317"/>
      <c r="AC62" s="317"/>
      <c r="AD62" s="317">
        <v>1</v>
      </c>
      <c r="AE62" s="317"/>
      <c r="AF62" s="317"/>
      <c r="AG62" s="317"/>
      <c r="AH62" s="317"/>
    </row>
    <row r="63" spans="1:43" s="37" customFormat="1" x14ac:dyDescent="0.25">
      <c r="A63" s="319"/>
      <c r="B63" s="317"/>
      <c r="C63" s="317"/>
      <c r="D63" s="317"/>
      <c r="E63" s="317"/>
      <c r="F63" s="317"/>
      <c r="G63" s="317"/>
      <c r="H63" s="104"/>
      <c r="I63" s="316"/>
      <c r="J63" s="316"/>
      <c r="K63" s="316"/>
      <c r="L63" s="316"/>
      <c r="M63" s="104"/>
      <c r="N63" s="317"/>
      <c r="O63" s="317"/>
      <c r="P63" s="317"/>
      <c r="Q63" s="317"/>
      <c r="R63" s="317"/>
      <c r="S63" s="317"/>
      <c r="T63" s="109"/>
      <c r="U63" s="316"/>
      <c r="V63" s="316"/>
      <c r="W63" s="316"/>
      <c r="X63" s="316"/>
      <c r="Y63" s="317"/>
      <c r="Z63" s="317"/>
      <c r="AA63" s="317"/>
      <c r="AB63" s="317"/>
      <c r="AC63" s="317"/>
      <c r="AD63" s="317"/>
      <c r="AE63" s="317"/>
      <c r="AF63" s="317"/>
      <c r="AG63" s="317"/>
      <c r="AH63" s="317"/>
    </row>
    <row r="64" spans="1:43" s="37" customFormat="1" ht="17.25" customHeight="1" x14ac:dyDescent="0.25">
      <c r="A64" s="319"/>
      <c r="B64" s="317"/>
      <c r="C64" s="317"/>
      <c r="D64" s="317"/>
      <c r="E64" s="317"/>
      <c r="F64" s="317"/>
      <c r="G64" s="317"/>
      <c r="H64" s="104"/>
      <c r="I64" s="316"/>
      <c r="J64" s="316"/>
      <c r="K64" s="316"/>
      <c r="L64" s="316"/>
      <c r="M64" s="104"/>
      <c r="N64" s="317"/>
      <c r="O64" s="317"/>
      <c r="P64" s="317"/>
      <c r="Q64" s="317"/>
      <c r="R64" s="317"/>
      <c r="S64" s="317"/>
      <c r="T64" s="109"/>
      <c r="U64" s="316"/>
      <c r="V64" s="316"/>
      <c r="W64" s="316"/>
      <c r="X64" s="316"/>
      <c r="Y64" s="317"/>
      <c r="Z64" s="317"/>
      <c r="AA64" s="317"/>
      <c r="AB64" s="317"/>
      <c r="AC64" s="317"/>
      <c r="AD64" s="317"/>
      <c r="AE64" s="317"/>
      <c r="AF64" s="317"/>
      <c r="AG64" s="317"/>
      <c r="AH64" s="317"/>
    </row>
    <row r="65" spans="1:65" s="37" customFormat="1" x14ac:dyDescent="0.25">
      <c r="A65" s="319"/>
      <c r="B65" s="317"/>
      <c r="C65" s="317"/>
      <c r="D65" s="317"/>
      <c r="E65" s="317"/>
      <c r="F65" s="317"/>
      <c r="G65" s="317"/>
      <c r="H65" s="104"/>
      <c r="I65" s="316"/>
      <c r="J65" s="316"/>
      <c r="K65" s="316"/>
      <c r="L65" s="316"/>
      <c r="M65" s="104"/>
      <c r="N65" s="317"/>
      <c r="O65" s="317"/>
      <c r="P65" s="317"/>
      <c r="Q65" s="317"/>
      <c r="R65" s="317"/>
      <c r="S65" s="317"/>
      <c r="T65" s="109"/>
      <c r="U65" s="316"/>
      <c r="V65" s="316"/>
      <c r="W65" s="316"/>
      <c r="X65" s="316"/>
      <c r="Y65" s="317"/>
      <c r="Z65" s="317"/>
      <c r="AA65" s="317"/>
      <c r="AB65" s="317"/>
      <c r="AC65" s="317"/>
      <c r="AD65" s="317"/>
      <c r="AE65" s="317"/>
      <c r="AF65" s="317"/>
      <c r="AG65" s="317"/>
      <c r="AH65" s="317"/>
    </row>
    <row r="66" spans="1:65" s="37" customFormat="1" x14ac:dyDescent="0.25">
      <c r="A66" s="319"/>
      <c r="B66" s="317"/>
      <c r="C66" s="317"/>
      <c r="D66" s="317"/>
      <c r="E66" s="317"/>
      <c r="F66" s="317"/>
      <c r="G66" s="317"/>
      <c r="H66" s="104"/>
      <c r="I66" s="104"/>
      <c r="J66" s="104"/>
      <c r="K66" s="104"/>
      <c r="L66" s="104"/>
      <c r="M66" s="104"/>
      <c r="N66" s="317"/>
      <c r="O66" s="317"/>
      <c r="P66" s="317"/>
      <c r="Q66" s="317"/>
      <c r="R66" s="317"/>
      <c r="S66" s="317"/>
      <c r="T66" s="104"/>
      <c r="U66" s="104"/>
      <c r="V66" s="104"/>
      <c r="W66" s="104"/>
      <c r="X66" s="104"/>
      <c r="Y66" s="317"/>
      <c r="Z66" s="317"/>
      <c r="AA66" s="317"/>
      <c r="AB66" s="317"/>
      <c r="AC66" s="317"/>
      <c r="AD66" s="104"/>
      <c r="AE66" s="104"/>
      <c r="AF66" s="104"/>
      <c r="AG66" s="104"/>
      <c r="AH66" s="104"/>
    </row>
    <row r="67" spans="1:65" s="53" customFormat="1" ht="6" customHeight="1" x14ac:dyDescent="0.25">
      <c r="A67" s="111"/>
      <c r="B67" s="111"/>
      <c r="C67" s="90"/>
      <c r="D67" s="90"/>
      <c r="E67" s="90"/>
      <c r="F67" s="90"/>
      <c r="G67" s="90"/>
      <c r="H67" s="90"/>
      <c r="I67" s="42"/>
      <c r="J67" s="42"/>
      <c r="K67" s="42"/>
      <c r="L67" s="42"/>
      <c r="M67" s="42"/>
      <c r="N67" s="42"/>
      <c r="O67" s="90"/>
      <c r="P67" s="90"/>
      <c r="Q67" s="90"/>
      <c r="R67" s="90"/>
      <c r="S67" s="90"/>
      <c r="T67" s="90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</row>
    <row r="68" spans="1:65" s="4" customFormat="1" ht="6" customHeight="1" x14ac:dyDescent="0.25">
      <c r="A68" s="110"/>
      <c r="B68" s="110"/>
      <c r="C68" s="91"/>
      <c r="D68" s="91"/>
      <c r="E68" s="91"/>
      <c r="F68" s="91"/>
      <c r="G68" s="91"/>
      <c r="H68" s="91"/>
      <c r="I68" s="40"/>
      <c r="J68" s="40"/>
      <c r="K68" s="40"/>
      <c r="L68" s="40"/>
      <c r="M68" s="40"/>
      <c r="N68" s="40"/>
      <c r="O68" s="91"/>
      <c r="P68" s="91"/>
      <c r="Q68" s="91"/>
      <c r="R68" s="91"/>
      <c r="S68" s="91"/>
      <c r="T68" s="91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35"/>
    </row>
    <row r="69" spans="1:65" s="37" customFormat="1" ht="15" customHeight="1" x14ac:dyDescent="0.25">
      <c r="A69" s="266" t="s">
        <v>188</v>
      </c>
      <c r="B69" s="267">
        <v>2</v>
      </c>
      <c r="C69" s="267"/>
      <c r="D69" s="267"/>
      <c r="E69" s="267"/>
      <c r="F69" s="267"/>
      <c r="G69" s="267"/>
      <c r="H69" s="105"/>
      <c r="I69" s="105"/>
      <c r="J69" s="105"/>
      <c r="K69" s="105"/>
      <c r="L69" s="105"/>
      <c r="M69" s="105"/>
      <c r="N69" s="267">
        <v>1</v>
      </c>
      <c r="O69" s="267"/>
      <c r="P69" s="267"/>
      <c r="Q69" s="267"/>
      <c r="R69" s="267"/>
      <c r="S69" s="267"/>
      <c r="T69" s="106"/>
      <c r="U69" s="105"/>
      <c r="V69" s="105"/>
      <c r="W69" s="105"/>
      <c r="X69" s="105"/>
      <c r="Y69" s="267">
        <v>1</v>
      </c>
      <c r="Z69" s="267"/>
      <c r="AA69" s="267"/>
      <c r="AB69" s="267"/>
      <c r="AC69" s="267"/>
      <c r="AD69" s="105"/>
      <c r="AE69" s="105"/>
      <c r="AF69" s="105"/>
      <c r="AG69" s="105"/>
      <c r="AH69" s="105"/>
    </row>
    <row r="70" spans="1:65" s="37" customFormat="1" ht="15" customHeight="1" x14ac:dyDescent="0.25">
      <c r="A70" s="266"/>
      <c r="B70" s="267"/>
      <c r="C70" s="267"/>
      <c r="D70" s="267"/>
      <c r="E70" s="267"/>
      <c r="F70" s="267"/>
      <c r="G70" s="267"/>
      <c r="H70" s="105"/>
      <c r="I70" s="286">
        <v>1</v>
      </c>
      <c r="J70" s="286"/>
      <c r="K70" s="286"/>
      <c r="L70" s="286"/>
      <c r="M70" s="105"/>
      <c r="N70" s="267"/>
      <c r="O70" s="267"/>
      <c r="P70" s="267"/>
      <c r="Q70" s="267"/>
      <c r="R70" s="267"/>
      <c r="S70" s="267"/>
      <c r="T70" s="107"/>
      <c r="U70" s="286">
        <v>1</v>
      </c>
      <c r="V70" s="286"/>
      <c r="W70" s="286"/>
      <c r="X70" s="286"/>
      <c r="Y70" s="267"/>
      <c r="Z70" s="267"/>
      <c r="AA70" s="267"/>
      <c r="AB70" s="267"/>
      <c r="AC70" s="267"/>
      <c r="AD70" s="267">
        <v>1</v>
      </c>
      <c r="AE70" s="267"/>
      <c r="AF70" s="267"/>
      <c r="AG70" s="267"/>
      <c r="AH70" s="267"/>
    </row>
    <row r="71" spans="1:65" s="37" customFormat="1" x14ac:dyDescent="0.25">
      <c r="A71" s="266"/>
      <c r="B71" s="267"/>
      <c r="C71" s="267"/>
      <c r="D71" s="267"/>
      <c r="E71" s="267"/>
      <c r="F71" s="267"/>
      <c r="G71" s="267"/>
      <c r="H71" s="105"/>
      <c r="I71" s="286"/>
      <c r="J71" s="286"/>
      <c r="K71" s="286"/>
      <c r="L71" s="286"/>
      <c r="M71" s="105"/>
      <c r="N71" s="267"/>
      <c r="O71" s="267"/>
      <c r="P71" s="267"/>
      <c r="Q71" s="267"/>
      <c r="R71" s="267"/>
      <c r="S71" s="267"/>
      <c r="T71" s="107"/>
      <c r="U71" s="286"/>
      <c r="V71" s="286"/>
      <c r="W71" s="286"/>
      <c r="X71" s="286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</row>
    <row r="72" spans="1:65" s="37" customFormat="1" x14ac:dyDescent="0.25">
      <c r="A72" s="266"/>
      <c r="B72" s="267"/>
      <c r="C72" s="267"/>
      <c r="D72" s="267"/>
      <c r="E72" s="267"/>
      <c r="F72" s="267"/>
      <c r="G72" s="267"/>
      <c r="H72" s="105"/>
      <c r="I72" s="286"/>
      <c r="J72" s="286"/>
      <c r="K72" s="286"/>
      <c r="L72" s="286"/>
      <c r="M72" s="105"/>
      <c r="N72" s="267"/>
      <c r="O72" s="267"/>
      <c r="P72" s="267"/>
      <c r="Q72" s="267"/>
      <c r="R72" s="267"/>
      <c r="S72" s="267"/>
      <c r="T72" s="107"/>
      <c r="U72" s="286"/>
      <c r="V72" s="286"/>
      <c r="W72" s="286"/>
      <c r="X72" s="286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</row>
    <row r="73" spans="1:65" s="37" customFormat="1" x14ac:dyDescent="0.25">
      <c r="A73" s="266"/>
      <c r="B73" s="267"/>
      <c r="C73" s="267"/>
      <c r="D73" s="267"/>
      <c r="E73" s="267"/>
      <c r="F73" s="267"/>
      <c r="G73" s="267"/>
      <c r="H73" s="105"/>
      <c r="I73" s="286"/>
      <c r="J73" s="286"/>
      <c r="K73" s="286"/>
      <c r="L73" s="286"/>
      <c r="M73" s="105"/>
      <c r="N73" s="267"/>
      <c r="O73" s="267"/>
      <c r="P73" s="267"/>
      <c r="Q73" s="267"/>
      <c r="R73" s="267"/>
      <c r="S73" s="267"/>
      <c r="T73" s="107"/>
      <c r="U73" s="286"/>
      <c r="V73" s="286"/>
      <c r="W73" s="286"/>
      <c r="X73" s="286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</row>
    <row r="74" spans="1:65" s="37" customFormat="1" x14ac:dyDescent="0.25">
      <c r="A74" s="266"/>
      <c r="B74" s="267"/>
      <c r="C74" s="267"/>
      <c r="D74" s="267"/>
      <c r="E74" s="267"/>
      <c r="F74" s="267"/>
      <c r="G74" s="267"/>
      <c r="H74" s="105"/>
      <c r="I74" s="105"/>
      <c r="J74" s="105"/>
      <c r="K74" s="105"/>
      <c r="L74" s="105"/>
      <c r="M74" s="105"/>
      <c r="N74" s="267"/>
      <c r="O74" s="267"/>
      <c r="P74" s="267"/>
      <c r="Q74" s="267"/>
      <c r="R74" s="267"/>
      <c r="S74" s="267"/>
      <c r="T74" s="105"/>
      <c r="U74" s="105"/>
      <c r="V74" s="105"/>
      <c r="W74" s="105"/>
      <c r="X74" s="105"/>
      <c r="Y74" s="267"/>
      <c r="Z74" s="267"/>
      <c r="AA74" s="267"/>
      <c r="AB74" s="267"/>
      <c r="AC74" s="267"/>
      <c r="AD74" s="105"/>
      <c r="AE74" s="105"/>
      <c r="AF74" s="105"/>
      <c r="AG74" s="105"/>
      <c r="AH74" s="105"/>
    </row>
    <row r="75" spans="1:65" s="37" customFormat="1" x14ac:dyDescent="0.25"/>
    <row r="76" spans="1:65" s="37" customFormat="1" ht="15" customHeight="1" x14ac:dyDescent="0.25">
      <c r="A76" s="288" t="s">
        <v>191</v>
      </c>
      <c r="B76" s="288"/>
      <c r="C76" s="288"/>
      <c r="D76" s="288"/>
      <c r="F76" s="268" t="s">
        <v>203</v>
      </c>
      <c r="G76" s="268"/>
      <c r="H76" s="268"/>
      <c r="I76" s="268"/>
      <c r="J76" s="268"/>
      <c r="L76" s="287" t="s">
        <v>193</v>
      </c>
      <c r="M76" s="273"/>
      <c r="N76" s="274"/>
      <c r="O76" s="274"/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  <c r="AF76" s="274"/>
      <c r="AG76" s="274"/>
      <c r="AH76" s="275"/>
    </row>
    <row r="77" spans="1:65" s="37" customFormat="1" ht="15" customHeight="1" x14ac:dyDescent="0.25">
      <c r="A77" s="288"/>
      <c r="B77" s="288"/>
      <c r="C77" s="288"/>
      <c r="D77" s="288"/>
      <c r="F77" s="268"/>
      <c r="G77" s="268"/>
      <c r="H77" s="268"/>
      <c r="I77" s="268"/>
      <c r="J77" s="268"/>
      <c r="L77" s="287"/>
      <c r="M77" s="276"/>
      <c r="N77" s="277"/>
      <c r="O77" s="277"/>
      <c r="P77" s="277"/>
      <c r="Q77" s="277"/>
      <c r="R77" s="277"/>
      <c r="S77" s="277"/>
      <c r="T77" s="277"/>
      <c r="U77" s="277"/>
      <c r="V77" s="277"/>
      <c r="W77" s="277"/>
      <c r="X77" s="277"/>
      <c r="Y77" s="277"/>
      <c r="Z77" s="277"/>
      <c r="AA77" s="277"/>
      <c r="AB77" s="277"/>
      <c r="AC77" s="277"/>
      <c r="AD77" s="277"/>
      <c r="AE77" s="277"/>
      <c r="AF77" s="277"/>
      <c r="AG77" s="277"/>
      <c r="AH77" s="278"/>
    </row>
    <row r="78" spans="1:65" s="37" customFormat="1" x14ac:dyDescent="0.25">
      <c r="A78" s="265">
        <v>1</v>
      </c>
      <c r="B78" s="265"/>
      <c r="C78" s="265"/>
      <c r="D78" s="265"/>
      <c r="F78" s="272">
        <v>1</v>
      </c>
      <c r="G78" s="272"/>
      <c r="H78" s="272"/>
      <c r="I78" s="272"/>
      <c r="J78" s="272"/>
      <c r="L78" s="287"/>
      <c r="M78" s="276"/>
      <c r="N78" s="277"/>
      <c r="O78" s="277"/>
      <c r="P78" s="277"/>
      <c r="Q78" s="277"/>
      <c r="R78" s="277"/>
      <c r="S78" s="277"/>
      <c r="T78" s="277"/>
      <c r="U78" s="277"/>
      <c r="V78" s="277"/>
      <c r="W78" s="277"/>
      <c r="X78" s="277"/>
      <c r="Y78" s="277"/>
      <c r="Z78" s="277"/>
      <c r="AA78" s="277"/>
      <c r="AB78" s="277"/>
      <c r="AC78" s="277"/>
      <c r="AD78" s="277"/>
      <c r="AE78" s="277"/>
      <c r="AF78" s="277"/>
      <c r="AG78" s="277"/>
      <c r="AH78" s="278"/>
      <c r="BE78" s="35"/>
      <c r="BM78" s="120"/>
    </row>
    <row r="79" spans="1:65" s="37" customFormat="1" x14ac:dyDescent="0.25">
      <c r="A79" s="265"/>
      <c r="B79" s="265"/>
      <c r="C79" s="265"/>
      <c r="D79" s="265"/>
      <c r="F79" s="272"/>
      <c r="G79" s="272"/>
      <c r="H79" s="272"/>
      <c r="I79" s="272"/>
      <c r="J79" s="272"/>
      <c r="L79" s="287"/>
      <c r="M79" s="276"/>
      <c r="N79" s="277"/>
      <c r="O79" s="277"/>
      <c r="P79" s="277"/>
      <c r="Q79" s="277"/>
      <c r="R79" s="277"/>
      <c r="S79" s="277"/>
      <c r="T79" s="277"/>
      <c r="U79" s="277"/>
      <c r="V79" s="277"/>
      <c r="W79" s="277"/>
      <c r="X79" s="277"/>
      <c r="Y79" s="277"/>
      <c r="Z79" s="277"/>
      <c r="AA79" s="277"/>
      <c r="AB79" s="277"/>
      <c r="AC79" s="277"/>
      <c r="AD79" s="277"/>
      <c r="AE79" s="277"/>
      <c r="AF79" s="277"/>
      <c r="AG79" s="277"/>
      <c r="AH79" s="278"/>
      <c r="AZ79" s="35"/>
      <c r="BE79" s="35"/>
      <c r="BM79" s="35"/>
    </row>
    <row r="80" spans="1:65" s="37" customFormat="1" x14ac:dyDescent="0.25">
      <c r="A80" s="265"/>
      <c r="B80" s="265"/>
      <c r="C80" s="265"/>
      <c r="D80" s="265"/>
      <c r="F80" s="272"/>
      <c r="G80" s="272"/>
      <c r="H80" s="272"/>
      <c r="I80" s="272"/>
      <c r="J80" s="272"/>
      <c r="L80" s="287"/>
      <c r="M80" s="276"/>
      <c r="N80" s="277"/>
      <c r="O80" s="277"/>
      <c r="P80" s="277"/>
      <c r="Q80" s="277"/>
      <c r="R80" s="277"/>
      <c r="S80" s="277"/>
      <c r="T80" s="277"/>
      <c r="U80" s="277"/>
      <c r="V80" s="277"/>
      <c r="W80" s="277"/>
      <c r="X80" s="277"/>
      <c r="Y80" s="277"/>
      <c r="Z80" s="277"/>
      <c r="AA80" s="277"/>
      <c r="AB80" s="277"/>
      <c r="AC80" s="277"/>
      <c r="AD80" s="277"/>
      <c r="AE80" s="277"/>
      <c r="AF80" s="277"/>
      <c r="AG80" s="277"/>
      <c r="AH80" s="278"/>
      <c r="AZ80" s="35"/>
      <c r="BE80" s="35"/>
      <c r="BM80" s="35"/>
    </row>
    <row r="81" spans="1:65" s="37" customFormat="1" ht="14.25" customHeight="1" x14ac:dyDescent="0.25">
      <c r="A81" s="265"/>
      <c r="B81" s="265"/>
      <c r="C81" s="265"/>
      <c r="D81" s="265"/>
      <c r="F81" s="272"/>
      <c r="G81" s="272"/>
      <c r="H81" s="272"/>
      <c r="I81" s="272"/>
      <c r="J81" s="272"/>
      <c r="L81" s="287"/>
      <c r="M81" s="276"/>
      <c r="N81" s="277"/>
      <c r="O81" s="277"/>
      <c r="P81" s="277"/>
      <c r="Q81" s="277"/>
      <c r="R81" s="277"/>
      <c r="S81" s="277"/>
      <c r="T81" s="277"/>
      <c r="U81" s="277"/>
      <c r="V81" s="277"/>
      <c r="W81" s="277"/>
      <c r="X81" s="277"/>
      <c r="Y81" s="277"/>
      <c r="Z81" s="277"/>
      <c r="AA81" s="277"/>
      <c r="AB81" s="277"/>
      <c r="AC81" s="277"/>
      <c r="AD81" s="277"/>
      <c r="AE81" s="277"/>
      <c r="AF81" s="277"/>
      <c r="AG81" s="277"/>
      <c r="AH81" s="278"/>
      <c r="AZ81" s="35"/>
      <c r="BE81" s="35"/>
      <c r="BM81" s="35"/>
    </row>
    <row r="82" spans="1:65" s="37" customFormat="1" ht="14.25" customHeight="1" x14ac:dyDescent="0.25">
      <c r="A82" s="265"/>
      <c r="B82" s="265"/>
      <c r="C82" s="265"/>
      <c r="D82" s="265"/>
      <c r="F82" s="35"/>
      <c r="L82" s="287"/>
      <c r="M82" s="276"/>
      <c r="N82" s="277"/>
      <c r="O82" s="277"/>
      <c r="P82" s="277"/>
      <c r="Q82" s="277"/>
      <c r="R82" s="277"/>
      <c r="S82" s="277"/>
      <c r="T82" s="277"/>
      <c r="U82" s="277"/>
      <c r="V82" s="277"/>
      <c r="W82" s="277"/>
      <c r="X82" s="277"/>
      <c r="Y82" s="277"/>
      <c r="Z82" s="277"/>
      <c r="AA82" s="277"/>
      <c r="AB82" s="277"/>
      <c r="AC82" s="277"/>
      <c r="AD82" s="277"/>
      <c r="AE82" s="277"/>
      <c r="AF82" s="277"/>
      <c r="AG82" s="277"/>
      <c r="AH82" s="278"/>
      <c r="AZ82" s="35"/>
      <c r="BE82" s="35"/>
      <c r="BM82" s="35"/>
    </row>
    <row r="83" spans="1:65" s="37" customFormat="1" x14ac:dyDescent="0.25">
      <c r="A83" s="260" t="s">
        <v>181</v>
      </c>
      <c r="B83" s="260"/>
      <c r="C83" s="260"/>
      <c r="D83" s="260"/>
      <c r="E83" s="260"/>
      <c r="F83" s="260" t="s">
        <v>180</v>
      </c>
      <c r="G83" s="260"/>
      <c r="H83" s="260"/>
      <c r="I83" s="260"/>
      <c r="J83" s="260"/>
      <c r="L83" s="287"/>
      <c r="M83" s="276"/>
      <c r="N83" s="277"/>
      <c r="O83" s="277"/>
      <c r="P83" s="277"/>
      <c r="Q83" s="277"/>
      <c r="R83" s="277"/>
      <c r="S83" s="277"/>
      <c r="T83" s="277"/>
      <c r="U83" s="277"/>
      <c r="V83" s="277"/>
      <c r="W83" s="277"/>
      <c r="X83" s="277"/>
      <c r="Y83" s="277"/>
      <c r="Z83" s="277"/>
      <c r="AA83" s="277"/>
      <c r="AB83" s="277"/>
      <c r="AC83" s="277"/>
      <c r="AD83" s="277"/>
      <c r="AE83" s="277"/>
      <c r="AF83" s="277"/>
      <c r="AG83" s="277"/>
      <c r="AH83" s="278"/>
      <c r="BM83" s="35"/>
    </row>
    <row r="84" spans="1:65" s="37" customFormat="1" ht="15" customHeight="1" x14ac:dyDescent="0.25">
      <c r="A84" s="260"/>
      <c r="B84" s="260"/>
      <c r="C84" s="260"/>
      <c r="D84" s="260"/>
      <c r="E84" s="260"/>
      <c r="F84" s="260"/>
      <c r="G84" s="260"/>
      <c r="H84" s="260"/>
      <c r="I84" s="260"/>
      <c r="J84" s="260"/>
      <c r="L84" s="287"/>
      <c r="M84" s="276"/>
      <c r="N84" s="277"/>
      <c r="O84" s="277"/>
      <c r="P84" s="277"/>
      <c r="Q84" s="277"/>
      <c r="R84" s="277"/>
      <c r="S84" s="277"/>
      <c r="T84" s="277"/>
      <c r="U84" s="277"/>
      <c r="V84" s="277"/>
      <c r="W84" s="277"/>
      <c r="X84" s="277"/>
      <c r="Y84" s="277"/>
      <c r="Z84" s="277"/>
      <c r="AA84" s="277"/>
      <c r="AB84" s="277"/>
      <c r="AC84" s="277"/>
      <c r="AD84" s="277"/>
      <c r="AE84" s="277"/>
      <c r="AF84" s="277"/>
      <c r="AG84" s="277"/>
      <c r="AH84" s="278"/>
    </row>
    <row r="85" spans="1:65" s="37" customFormat="1" x14ac:dyDescent="0.25">
      <c r="A85" s="260"/>
      <c r="B85" s="260"/>
      <c r="C85" s="260"/>
      <c r="D85" s="260"/>
      <c r="E85" s="260"/>
      <c r="F85" s="260"/>
      <c r="G85" s="260"/>
      <c r="H85" s="260"/>
      <c r="I85" s="260"/>
      <c r="J85" s="260"/>
      <c r="L85" s="287"/>
      <c r="M85" s="279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1"/>
    </row>
    <row r="86" spans="1:65" s="37" customFormat="1" x14ac:dyDescent="0.25">
      <c r="A86" s="264">
        <v>1</v>
      </c>
      <c r="B86" s="264"/>
      <c r="C86" s="264"/>
      <c r="D86" s="264"/>
      <c r="F86" s="264">
        <v>1</v>
      </c>
      <c r="G86" s="264"/>
      <c r="H86" s="264"/>
      <c r="I86" s="264"/>
      <c r="L86" s="68" t="s">
        <v>182</v>
      </c>
    </row>
    <row r="87" spans="1:65" s="37" customFormat="1" x14ac:dyDescent="0.25">
      <c r="A87" s="264"/>
      <c r="B87" s="264"/>
      <c r="C87" s="264"/>
      <c r="D87" s="264"/>
      <c r="F87" s="264"/>
      <c r="G87" s="264"/>
      <c r="H87" s="264"/>
      <c r="I87" s="264"/>
      <c r="L87" s="273"/>
      <c r="M87" s="274"/>
      <c r="N87" s="274"/>
      <c r="O87" s="274"/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C87" s="274"/>
      <c r="AD87" s="274"/>
      <c r="AE87" s="274"/>
      <c r="AF87" s="274"/>
      <c r="AG87" s="274"/>
      <c r="AH87" s="275"/>
    </row>
    <row r="88" spans="1:65" s="37" customFormat="1" ht="15" customHeight="1" x14ac:dyDescent="0.25">
      <c r="A88" s="264"/>
      <c r="B88" s="264"/>
      <c r="C88" s="264"/>
      <c r="D88" s="264"/>
      <c r="F88" s="264"/>
      <c r="G88" s="264"/>
      <c r="H88" s="264"/>
      <c r="I88" s="264"/>
      <c r="L88" s="276"/>
      <c r="M88" s="277"/>
      <c r="N88" s="277"/>
      <c r="O88" s="277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277"/>
      <c r="AC88" s="277"/>
      <c r="AD88" s="277"/>
      <c r="AE88" s="277"/>
      <c r="AF88" s="277"/>
      <c r="AG88" s="277"/>
      <c r="AH88" s="278"/>
    </row>
    <row r="89" spans="1:65" s="37" customFormat="1" x14ac:dyDescent="0.25">
      <c r="A89" s="264"/>
      <c r="B89" s="264"/>
      <c r="C89" s="264"/>
      <c r="D89" s="264"/>
      <c r="F89" s="264"/>
      <c r="G89" s="264"/>
      <c r="H89" s="264"/>
      <c r="I89" s="264"/>
      <c r="L89" s="279"/>
      <c r="M89" s="280"/>
      <c r="N89" s="280"/>
      <c r="O89" s="280"/>
      <c r="P89" s="280"/>
      <c r="Q89" s="280"/>
      <c r="R89" s="280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280"/>
      <c r="AG89" s="280"/>
      <c r="AH89" s="281"/>
    </row>
    <row r="90" spans="1:65" s="53" customFormat="1" ht="3" customHeight="1" x14ac:dyDescent="0.25">
      <c r="A90" s="73"/>
      <c r="B90" s="73"/>
      <c r="C90" s="73"/>
      <c r="D90" s="73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</row>
    <row r="91" spans="1:65" s="53" customFormat="1" ht="3" customHeight="1" thickBot="1" x14ac:dyDescent="0.3">
      <c r="A91" s="74"/>
      <c r="B91" s="74"/>
      <c r="C91" s="74"/>
      <c r="D91" s="74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65" ht="15.75" customHeight="1" thickTop="1" thickBot="1" x14ac:dyDescent="0.3">
      <c r="A92" s="597" t="s">
        <v>220</v>
      </c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  <c r="AG92" s="597"/>
      <c r="AH92" s="597"/>
    </row>
    <row r="93" spans="1:65" ht="6" customHeight="1" thickTop="1" x14ac:dyDescent="0.25"/>
    <row r="94" spans="1:65" s="37" customFormat="1" ht="14.25" customHeight="1" x14ac:dyDescent="0.25">
      <c r="A94" s="611" t="s">
        <v>162</v>
      </c>
      <c r="B94" s="612"/>
      <c r="C94" s="612"/>
      <c r="D94" s="612"/>
      <c r="E94" s="612"/>
      <c r="F94" s="612"/>
      <c r="G94" s="612"/>
      <c r="H94" s="612"/>
      <c r="I94" s="612"/>
      <c r="J94" s="613"/>
      <c r="P94" s="35"/>
      <c r="Q94" s="35"/>
      <c r="R94" s="35"/>
      <c r="S94" s="35"/>
      <c r="T94" s="35"/>
      <c r="U94" s="35"/>
      <c r="V94" s="35"/>
      <c r="W94" s="35"/>
      <c r="X94" s="35"/>
      <c r="Y94" s="269" t="s">
        <v>149</v>
      </c>
      <c r="Z94" s="269"/>
      <c r="AA94" s="269"/>
      <c r="AB94" s="269"/>
      <c r="AC94" s="42"/>
      <c r="AD94" s="270" t="s">
        <v>150</v>
      </c>
      <c r="AE94" s="270"/>
      <c r="AF94" s="270"/>
      <c r="AG94" s="270"/>
      <c r="AH94" s="40"/>
    </row>
    <row r="95" spans="1:65" s="37" customFormat="1" ht="14.25" customHeight="1" x14ac:dyDescent="0.25">
      <c r="A95" s="614"/>
      <c r="B95" s="579"/>
      <c r="C95" s="579"/>
      <c r="D95" s="579"/>
      <c r="E95" s="579"/>
      <c r="F95" s="579"/>
      <c r="G95" s="579"/>
      <c r="H95" s="579"/>
      <c r="I95" s="579"/>
      <c r="J95" s="615"/>
      <c r="P95" s="35" t="s">
        <v>151</v>
      </c>
      <c r="Q95" s="35"/>
      <c r="R95" s="35"/>
      <c r="S95" s="35"/>
      <c r="T95" s="35"/>
      <c r="U95" s="35"/>
      <c r="V95" s="35"/>
      <c r="W95" s="35"/>
      <c r="X95" s="35"/>
      <c r="Y95" s="247"/>
      <c r="Z95" s="283"/>
      <c r="AA95" s="283"/>
      <c r="AB95" s="284"/>
      <c r="AC95" s="51"/>
      <c r="AD95" s="326"/>
      <c r="AE95" s="327"/>
      <c r="AF95" s="327"/>
      <c r="AG95" s="328"/>
      <c r="AH95" s="52"/>
    </row>
    <row r="96" spans="1:65" s="37" customFormat="1" ht="14.25" customHeight="1" x14ac:dyDescent="0.25">
      <c r="A96" s="614"/>
      <c r="B96" s="579"/>
      <c r="C96" s="579"/>
      <c r="D96" s="579"/>
      <c r="E96" s="579"/>
      <c r="F96" s="579"/>
      <c r="G96" s="579"/>
      <c r="H96" s="579"/>
      <c r="I96" s="579"/>
      <c r="J96" s="615"/>
    </row>
    <row r="97" spans="1:34" s="37" customFormat="1" ht="14.25" customHeight="1" x14ac:dyDescent="0.25">
      <c r="A97" s="614"/>
      <c r="B97" s="579"/>
      <c r="C97" s="579"/>
      <c r="D97" s="579"/>
      <c r="E97" s="579"/>
      <c r="F97" s="579"/>
      <c r="G97" s="579"/>
      <c r="H97" s="579"/>
      <c r="I97" s="579"/>
      <c r="J97" s="615"/>
      <c r="R97" s="282" t="s">
        <v>204</v>
      </c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  <c r="AF97" s="282"/>
      <c r="AG97" s="282"/>
    </row>
    <row r="98" spans="1:34" s="37" customFormat="1" ht="14.25" customHeight="1" x14ac:dyDescent="0.25">
      <c r="A98" s="616"/>
      <c r="B98" s="617"/>
      <c r="C98" s="617"/>
      <c r="D98" s="617"/>
      <c r="E98" s="617"/>
      <c r="F98" s="617"/>
      <c r="G98" s="617"/>
      <c r="H98" s="617"/>
      <c r="I98" s="617"/>
      <c r="J98" s="618"/>
      <c r="R98" s="263" t="s">
        <v>147</v>
      </c>
      <c r="S98" s="263"/>
      <c r="T98" s="263"/>
      <c r="U98" s="263"/>
      <c r="V98" s="263"/>
      <c r="W98" s="263"/>
      <c r="X98" s="263"/>
      <c r="Y98" s="269" t="s">
        <v>149</v>
      </c>
      <c r="Z98" s="269"/>
      <c r="AA98" s="269"/>
      <c r="AB98" s="269"/>
      <c r="AC98" s="42"/>
      <c r="AD98" s="270" t="s">
        <v>150</v>
      </c>
      <c r="AE98" s="270"/>
      <c r="AF98" s="270"/>
      <c r="AG98" s="270"/>
      <c r="AH98" s="40"/>
    </row>
    <row r="99" spans="1:34" s="37" customFormat="1" ht="14.25" customHeight="1" x14ac:dyDescent="0.25">
      <c r="R99" s="285" t="s">
        <v>57</v>
      </c>
      <c r="S99" s="285"/>
      <c r="T99" s="285"/>
      <c r="U99" s="285"/>
      <c r="V99" s="285"/>
      <c r="W99" s="285"/>
      <c r="X99" s="285"/>
      <c r="Y99" s="246"/>
      <c r="Z99" s="246"/>
      <c r="AA99" s="246"/>
      <c r="AB99" s="247"/>
      <c r="AC99" s="51"/>
      <c r="AD99" s="219"/>
      <c r="AE99" s="219"/>
      <c r="AF99" s="219"/>
      <c r="AG99" s="219"/>
      <c r="AH99" s="52"/>
    </row>
    <row r="100" spans="1:34" s="37" customFormat="1" ht="14.25" customHeight="1" x14ac:dyDescent="0.25">
      <c r="A100" s="39" t="s">
        <v>163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261"/>
      <c r="N100" s="262"/>
      <c r="O100" s="262"/>
      <c r="P100" s="50"/>
      <c r="Q100" s="35"/>
      <c r="R100" s="285" t="s">
        <v>58</v>
      </c>
      <c r="S100" s="285"/>
      <c r="T100" s="285"/>
      <c r="U100" s="285"/>
      <c r="V100" s="285"/>
      <c r="W100" s="285"/>
      <c r="X100" s="285"/>
      <c r="Y100" s="246"/>
      <c r="Z100" s="246"/>
      <c r="AA100" s="246"/>
      <c r="AB100" s="247"/>
      <c r="AC100" s="51"/>
      <c r="AD100" s="219"/>
      <c r="AE100" s="219"/>
      <c r="AF100" s="219"/>
      <c r="AG100" s="219"/>
      <c r="AH100" s="52"/>
    </row>
    <row r="101" spans="1:34" s="37" customFormat="1" ht="14.25" customHeight="1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610" t="s">
        <v>59</v>
      </c>
      <c r="S101" s="610"/>
      <c r="T101" s="610"/>
      <c r="U101" s="610"/>
      <c r="V101" s="610"/>
      <c r="W101" s="610"/>
      <c r="X101" s="610"/>
      <c r="Y101" s="246"/>
      <c r="Z101" s="246"/>
      <c r="AA101" s="246"/>
      <c r="AB101" s="247"/>
      <c r="AC101" s="51"/>
      <c r="AD101" s="219"/>
      <c r="AE101" s="219"/>
      <c r="AF101" s="219"/>
      <c r="AG101" s="219"/>
      <c r="AH101" s="52"/>
    </row>
    <row r="102" spans="1:34" s="37" customFormat="1" ht="14.25" customHeight="1" x14ac:dyDescent="0.25">
      <c r="A102" s="271" t="s">
        <v>145</v>
      </c>
      <c r="B102" s="271"/>
      <c r="C102" s="271"/>
      <c r="D102" s="250"/>
      <c r="E102" s="251"/>
      <c r="F102" s="251"/>
      <c r="G102" s="251"/>
      <c r="H102" s="251"/>
      <c r="I102" s="251"/>
      <c r="J102" s="251"/>
      <c r="K102" s="251"/>
      <c r="L102" s="251"/>
      <c r="M102" s="251"/>
      <c r="N102" s="251"/>
      <c r="O102" s="251"/>
      <c r="P102" s="252"/>
      <c r="Q102" s="35"/>
      <c r="R102" s="610" t="s">
        <v>148</v>
      </c>
      <c r="S102" s="610"/>
      <c r="T102" s="610"/>
      <c r="U102" s="610"/>
      <c r="V102" s="610"/>
      <c r="W102" s="610"/>
      <c r="X102" s="610"/>
      <c r="Y102" s="246"/>
      <c r="Z102" s="246"/>
      <c r="AA102" s="246"/>
      <c r="AB102" s="247"/>
      <c r="AC102" s="51"/>
      <c r="AD102" s="219"/>
      <c r="AE102" s="219"/>
      <c r="AF102" s="219"/>
      <c r="AG102" s="219"/>
      <c r="AH102" s="52"/>
    </row>
    <row r="103" spans="1:34" ht="14.25" customHeight="1" x14ac:dyDescent="0.25">
      <c r="A103" s="271"/>
      <c r="B103" s="271"/>
      <c r="C103" s="271"/>
      <c r="D103" s="253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  <c r="P103" s="255"/>
      <c r="Q103" s="35"/>
      <c r="R103" s="259" t="s">
        <v>233</v>
      </c>
      <c r="S103" s="259"/>
      <c r="T103" s="259"/>
      <c r="U103" s="259"/>
      <c r="V103" s="259"/>
      <c r="W103" s="259"/>
      <c r="X103" s="259"/>
      <c r="Y103" s="246"/>
      <c r="Z103" s="246"/>
      <c r="AA103" s="246"/>
      <c r="AB103" s="247"/>
      <c r="AC103" s="51"/>
      <c r="AD103" s="219"/>
      <c r="AE103" s="219"/>
      <c r="AF103" s="219"/>
      <c r="AG103" s="219"/>
      <c r="AH103" s="52"/>
    </row>
    <row r="104" spans="1:34" s="3" customFormat="1" ht="14.25" customHeight="1" x14ac:dyDescent="0.25">
      <c r="A104" s="271"/>
      <c r="B104" s="271"/>
      <c r="C104" s="271"/>
      <c r="D104" s="256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8"/>
      <c r="Q104" s="35"/>
      <c r="R104" s="259" t="s">
        <v>234</v>
      </c>
      <c r="S104" s="259"/>
      <c r="T104" s="259"/>
      <c r="U104" s="259"/>
      <c r="V104" s="259"/>
      <c r="W104" s="259"/>
      <c r="X104" s="259"/>
      <c r="Y104" s="246"/>
      <c r="Z104" s="246"/>
      <c r="AA104" s="246"/>
      <c r="AB104" s="247"/>
      <c r="AC104" s="51"/>
      <c r="AD104" s="219"/>
      <c r="AE104" s="219"/>
      <c r="AF104" s="219"/>
      <c r="AG104" s="219"/>
      <c r="AH104" s="52"/>
    </row>
    <row r="105" spans="1:34" ht="14.25" customHeight="1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259" t="s">
        <v>235</v>
      </c>
      <c r="S105" s="259"/>
      <c r="T105" s="259"/>
      <c r="U105" s="259"/>
      <c r="V105" s="259"/>
      <c r="W105" s="259"/>
      <c r="X105" s="259"/>
      <c r="Y105" s="246"/>
      <c r="Z105" s="246"/>
      <c r="AA105" s="246"/>
      <c r="AB105" s="247"/>
      <c r="AC105" s="51"/>
      <c r="AD105" s="219"/>
      <c r="AE105" s="219"/>
      <c r="AF105" s="219"/>
      <c r="AG105" s="219"/>
      <c r="AH105" s="52"/>
    </row>
    <row r="106" spans="1:34" s="40" customFormat="1" ht="14.25" customHeight="1" x14ac:dyDescent="0.25">
      <c r="A106" s="37" t="s">
        <v>62</v>
      </c>
      <c r="B106" s="37"/>
      <c r="C106" s="37"/>
      <c r="D106" s="37"/>
      <c r="E106" s="37"/>
      <c r="F106" s="37"/>
      <c r="G106" s="37"/>
      <c r="H106" s="37"/>
      <c r="I106" s="37"/>
      <c r="J106" s="619"/>
      <c r="K106" s="620"/>
      <c r="L106" s="620"/>
      <c r="M106" s="38"/>
      <c r="N106" s="35"/>
      <c r="O106" s="35"/>
      <c r="P106" s="35"/>
      <c r="Q106" s="47"/>
      <c r="R106" s="259" t="s">
        <v>236</v>
      </c>
      <c r="S106" s="259"/>
      <c r="T106" s="259"/>
      <c r="U106" s="259"/>
      <c r="V106" s="259"/>
      <c r="W106" s="259"/>
      <c r="X106" s="259"/>
      <c r="Y106" s="246"/>
      <c r="Z106" s="246"/>
      <c r="AA106" s="246"/>
      <c r="AB106" s="247"/>
      <c r="AC106" s="51"/>
      <c r="AD106" s="219"/>
      <c r="AE106" s="219"/>
      <c r="AF106" s="219"/>
      <c r="AG106" s="219"/>
      <c r="AH106" s="52"/>
    </row>
    <row r="107" spans="1:34" s="37" customFormat="1" ht="6" customHeight="1" x14ac:dyDescent="0.25">
      <c r="AH107" s="35"/>
    </row>
    <row r="108" spans="1:34" s="37" customFormat="1" ht="14.25" customHeight="1" x14ac:dyDescent="0.25">
      <c r="A108" s="236" t="s">
        <v>8</v>
      </c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8"/>
      <c r="R108" s="248" t="s">
        <v>152</v>
      </c>
      <c r="S108" s="248"/>
      <c r="T108" s="248"/>
      <c r="U108" s="248"/>
      <c r="V108" s="248"/>
      <c r="W108" s="248"/>
      <c r="X108" s="248"/>
      <c r="Y108" s="245" t="s">
        <v>149</v>
      </c>
      <c r="Z108" s="245"/>
      <c r="AA108" s="245"/>
      <c r="AB108" s="245"/>
      <c r="AC108" s="48"/>
      <c r="AD108" s="245" t="s">
        <v>150</v>
      </c>
      <c r="AE108" s="245"/>
      <c r="AF108" s="245"/>
      <c r="AG108" s="245"/>
      <c r="AH108" s="48"/>
    </row>
    <row r="109" spans="1:34" s="37" customFormat="1" ht="14.25" customHeight="1" x14ac:dyDescent="0.25">
      <c r="A109" s="239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1"/>
      <c r="R109" s="242" t="s">
        <v>60</v>
      </c>
      <c r="S109" s="242"/>
      <c r="T109" s="242"/>
      <c r="U109" s="242"/>
      <c r="V109" s="242"/>
      <c r="W109" s="242"/>
      <c r="X109" s="242"/>
      <c r="Y109" s="243"/>
      <c r="Z109" s="243"/>
      <c r="AA109" s="243"/>
      <c r="AB109" s="244"/>
      <c r="AC109" s="49"/>
      <c r="AD109" s="243"/>
      <c r="AE109" s="243"/>
      <c r="AF109" s="243"/>
      <c r="AG109" s="243"/>
      <c r="AH109" s="49"/>
    </row>
    <row r="110" spans="1:34" s="3" customFormat="1" ht="14.25" customHeight="1" x14ac:dyDescent="0.25">
      <c r="A110" s="239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1"/>
      <c r="R110" s="242" t="s">
        <v>61</v>
      </c>
      <c r="S110" s="242"/>
      <c r="T110" s="242"/>
      <c r="U110" s="242"/>
      <c r="V110" s="242"/>
      <c r="W110" s="242"/>
      <c r="X110" s="242"/>
      <c r="Y110" s="226"/>
      <c r="Z110" s="226"/>
      <c r="AA110" s="226"/>
      <c r="AB110" s="249"/>
      <c r="AC110" s="54"/>
      <c r="AD110" s="226"/>
      <c r="AE110" s="226"/>
      <c r="AF110" s="226"/>
      <c r="AG110" s="226"/>
      <c r="AH110" s="54"/>
    </row>
    <row r="111" spans="1:34" s="37" customFormat="1" ht="14.25" customHeight="1" x14ac:dyDescent="0.25">
      <c r="A111" s="227"/>
      <c r="B111" s="228"/>
      <c r="C111" s="228"/>
      <c r="D111" s="228"/>
      <c r="E111" s="228"/>
      <c r="F111" s="228"/>
      <c r="G111" s="228"/>
      <c r="H111" s="228"/>
      <c r="I111" s="228"/>
      <c r="J111" s="228"/>
      <c r="K111" s="228"/>
      <c r="L111" s="228"/>
      <c r="M111" s="228"/>
      <c r="N111" s="228"/>
      <c r="O111" s="228"/>
      <c r="P111" s="228"/>
      <c r="Q111" s="228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9"/>
    </row>
    <row r="112" spans="1:34" s="4" customFormat="1" ht="14.25" customHeight="1" x14ac:dyDescent="0.25">
      <c r="A112" s="230"/>
      <c r="B112" s="231"/>
      <c r="C112" s="231"/>
      <c r="D112" s="231"/>
      <c r="E112" s="231"/>
      <c r="F112" s="231"/>
      <c r="G112" s="231"/>
      <c r="H112" s="231"/>
      <c r="I112" s="231"/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  <c r="U112" s="231"/>
      <c r="V112" s="231"/>
      <c r="W112" s="231"/>
      <c r="X112" s="231"/>
      <c r="Y112" s="231"/>
      <c r="Z112" s="231"/>
      <c r="AA112" s="231"/>
      <c r="AB112" s="231"/>
      <c r="AC112" s="231"/>
      <c r="AD112" s="231"/>
      <c r="AE112" s="231"/>
      <c r="AF112" s="231"/>
      <c r="AG112" s="231"/>
      <c r="AH112" s="232"/>
    </row>
    <row r="113" spans="1:34" s="37" customFormat="1" ht="14.25" customHeight="1" x14ac:dyDescent="0.25">
      <c r="A113" s="230"/>
      <c r="B113" s="231"/>
      <c r="C113" s="231"/>
      <c r="D113" s="231"/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2"/>
    </row>
    <row r="114" spans="1:34" ht="14.25" customHeight="1" x14ac:dyDescent="0.25">
      <c r="A114" s="230"/>
      <c r="B114" s="231"/>
      <c r="C114" s="231"/>
      <c r="D114" s="231"/>
      <c r="E114" s="231"/>
      <c r="F114" s="231"/>
      <c r="G114" s="231"/>
      <c r="H114" s="231"/>
      <c r="I114" s="231"/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  <c r="AF114" s="231"/>
      <c r="AG114" s="231"/>
      <c r="AH114" s="232"/>
    </row>
    <row r="115" spans="1:34" s="37" customFormat="1" ht="14.25" customHeight="1" x14ac:dyDescent="0.25">
      <c r="A115" s="230"/>
      <c r="B115" s="231"/>
      <c r="C115" s="231"/>
      <c r="D115" s="231"/>
      <c r="E115" s="231"/>
      <c r="F115" s="231"/>
      <c r="G115" s="231"/>
      <c r="H115" s="231"/>
      <c r="I115" s="231"/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  <c r="AF115" s="231"/>
      <c r="AG115" s="231"/>
      <c r="AH115" s="232"/>
    </row>
    <row r="116" spans="1:34" s="37" customFormat="1" ht="14.25" customHeight="1" x14ac:dyDescent="0.25">
      <c r="A116" s="230"/>
      <c r="B116" s="231"/>
      <c r="C116" s="231"/>
      <c r="D116" s="231"/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2"/>
    </row>
    <row r="117" spans="1:34" s="37" customFormat="1" ht="14.25" customHeight="1" x14ac:dyDescent="0.25">
      <c r="A117" s="230"/>
      <c r="B117" s="231"/>
      <c r="C117" s="231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2"/>
    </row>
    <row r="118" spans="1:34" s="37" customFormat="1" ht="14.25" customHeight="1" x14ac:dyDescent="0.25">
      <c r="A118" s="230"/>
      <c r="B118" s="231"/>
      <c r="C118" s="231"/>
      <c r="D118" s="231"/>
      <c r="E118" s="231"/>
      <c r="F118" s="231"/>
      <c r="G118" s="231"/>
      <c r="H118" s="231"/>
      <c r="I118" s="231"/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2"/>
    </row>
    <row r="119" spans="1:34" s="37" customFormat="1" ht="14.25" customHeight="1" thickBot="1" x14ac:dyDescent="0.3">
      <c r="A119" s="233"/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  <c r="Z119" s="234"/>
      <c r="AA119" s="234"/>
      <c r="AB119" s="234"/>
      <c r="AC119" s="234"/>
      <c r="AD119" s="234"/>
      <c r="AE119" s="234"/>
      <c r="AF119" s="234"/>
      <c r="AG119" s="234"/>
      <c r="AH119" s="235"/>
    </row>
    <row r="120" spans="1:34" s="37" customFormat="1" ht="14.25" customHeight="1" thickBot="1" x14ac:dyDescent="0.3">
      <c r="A120" s="223" t="s">
        <v>165</v>
      </c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5"/>
      <c r="P120" s="621"/>
      <c r="Q120" s="621"/>
      <c r="R120" s="621"/>
      <c r="S120" s="621"/>
      <c r="T120" s="621"/>
      <c r="U120" s="621"/>
      <c r="V120" s="621"/>
      <c r="W120" s="621"/>
      <c r="X120" s="621"/>
      <c r="Y120" s="621"/>
      <c r="Z120" s="621"/>
      <c r="AA120" s="621"/>
      <c r="AB120" s="621"/>
      <c r="AC120" s="621"/>
      <c r="AD120" s="621"/>
      <c r="AE120" s="621"/>
      <c r="AF120" s="621"/>
      <c r="AG120" s="621"/>
      <c r="AH120" s="622"/>
    </row>
    <row r="121" spans="1:34" s="37" customFormat="1" ht="14.25" customHeight="1" x14ac:dyDescent="0.25">
      <c r="A121" s="598" t="s">
        <v>142</v>
      </c>
      <c r="B121" s="599"/>
      <c r="C121" s="600"/>
      <c r="D121" s="598" t="s">
        <v>143</v>
      </c>
      <c r="E121" s="599"/>
      <c r="F121" s="600"/>
      <c r="G121" s="604" t="s">
        <v>144</v>
      </c>
      <c r="H121" s="605"/>
      <c r="I121" s="606"/>
      <c r="J121" s="604" t="s">
        <v>146</v>
      </c>
      <c r="K121" s="599"/>
      <c r="L121" s="600"/>
      <c r="M121" s="604" t="s">
        <v>159</v>
      </c>
      <c r="N121" s="605"/>
      <c r="O121" s="606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3"/>
      <c r="AB121" s="623"/>
      <c r="AC121" s="623"/>
      <c r="AD121" s="623"/>
      <c r="AE121" s="623"/>
      <c r="AF121" s="623"/>
      <c r="AG121" s="623"/>
      <c r="AH121" s="624"/>
    </row>
    <row r="122" spans="1:34" s="37" customFormat="1" ht="14.25" customHeight="1" thickBot="1" x14ac:dyDescent="0.3">
      <c r="A122" s="601"/>
      <c r="B122" s="602"/>
      <c r="C122" s="603"/>
      <c r="D122" s="601"/>
      <c r="E122" s="602"/>
      <c r="F122" s="603"/>
      <c r="G122" s="607"/>
      <c r="H122" s="608"/>
      <c r="I122" s="609"/>
      <c r="J122" s="601"/>
      <c r="K122" s="602"/>
      <c r="L122" s="603"/>
      <c r="M122" s="607"/>
      <c r="N122" s="608"/>
      <c r="O122" s="609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4"/>
    </row>
    <row r="123" spans="1:34" s="37" customFormat="1" ht="14.25" customHeight="1" x14ac:dyDescent="0.25">
      <c r="A123" s="220"/>
      <c r="B123" s="221"/>
      <c r="C123" s="222"/>
      <c r="D123" s="220"/>
      <c r="E123" s="221"/>
      <c r="F123" s="222"/>
      <c r="G123" s="220"/>
      <c r="H123" s="221"/>
      <c r="I123" s="222"/>
      <c r="J123" s="220"/>
      <c r="K123" s="221"/>
      <c r="L123" s="222"/>
      <c r="M123" s="220"/>
      <c r="N123" s="221"/>
      <c r="O123" s="221"/>
      <c r="P123" s="625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4"/>
    </row>
    <row r="124" spans="1:34" s="37" customFormat="1" ht="14.25" customHeight="1" x14ac:dyDescent="0.25">
      <c r="A124" s="220"/>
      <c r="B124" s="221"/>
      <c r="C124" s="222"/>
      <c r="D124" s="220"/>
      <c r="E124" s="221"/>
      <c r="F124" s="222"/>
      <c r="G124" s="220"/>
      <c r="H124" s="221"/>
      <c r="I124" s="222"/>
      <c r="J124" s="220"/>
      <c r="K124" s="221"/>
      <c r="L124" s="222"/>
      <c r="M124" s="220"/>
      <c r="N124" s="221"/>
      <c r="O124" s="221"/>
      <c r="P124" s="625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4"/>
    </row>
    <row r="125" spans="1:34" s="37" customFormat="1" ht="14.25" customHeight="1" x14ac:dyDescent="0.25">
      <c r="A125" s="220"/>
      <c r="B125" s="221"/>
      <c r="C125" s="222"/>
      <c r="D125" s="220"/>
      <c r="E125" s="221"/>
      <c r="F125" s="222"/>
      <c r="G125" s="220"/>
      <c r="H125" s="221"/>
      <c r="I125" s="222"/>
      <c r="J125" s="220"/>
      <c r="K125" s="221"/>
      <c r="L125" s="222"/>
      <c r="M125" s="220"/>
      <c r="N125" s="221"/>
      <c r="O125" s="221"/>
      <c r="P125" s="625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4"/>
    </row>
    <row r="126" spans="1:34" s="37" customFormat="1" ht="14.25" customHeight="1" x14ac:dyDescent="0.25">
      <c r="A126" s="220"/>
      <c r="B126" s="221"/>
      <c r="C126" s="222"/>
      <c r="D126" s="220"/>
      <c r="E126" s="221"/>
      <c r="F126" s="222"/>
      <c r="G126" s="220"/>
      <c r="H126" s="221"/>
      <c r="I126" s="222"/>
      <c r="J126" s="220"/>
      <c r="K126" s="221"/>
      <c r="L126" s="222"/>
      <c r="M126" s="220"/>
      <c r="N126" s="221"/>
      <c r="O126" s="221"/>
      <c r="P126" s="625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4"/>
    </row>
    <row r="127" spans="1:34" s="37" customFormat="1" ht="14.25" customHeight="1" x14ac:dyDescent="0.25">
      <c r="A127" s="220"/>
      <c r="B127" s="221"/>
      <c r="C127" s="222"/>
      <c r="D127" s="220"/>
      <c r="E127" s="221"/>
      <c r="F127" s="222"/>
      <c r="G127" s="220"/>
      <c r="H127" s="221"/>
      <c r="I127" s="222"/>
      <c r="J127" s="220"/>
      <c r="K127" s="221"/>
      <c r="L127" s="222"/>
      <c r="M127" s="220"/>
      <c r="N127" s="221"/>
      <c r="O127" s="221"/>
      <c r="P127" s="625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4"/>
    </row>
    <row r="128" spans="1:34" s="37" customFormat="1" ht="14.25" customHeight="1" x14ac:dyDescent="0.25">
      <c r="A128" s="220"/>
      <c r="B128" s="221"/>
      <c r="C128" s="222"/>
      <c r="D128" s="220"/>
      <c r="E128" s="221"/>
      <c r="F128" s="222"/>
      <c r="G128" s="220"/>
      <c r="H128" s="221"/>
      <c r="I128" s="222"/>
      <c r="J128" s="220"/>
      <c r="K128" s="221"/>
      <c r="L128" s="222"/>
      <c r="M128" s="220"/>
      <c r="N128" s="221"/>
      <c r="O128" s="221"/>
      <c r="P128" s="625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4"/>
    </row>
    <row r="129" spans="1:48" s="37" customFormat="1" ht="14.25" customHeight="1" x14ac:dyDescent="0.25">
      <c r="A129" s="220"/>
      <c r="B129" s="221"/>
      <c r="C129" s="222"/>
      <c r="D129" s="220"/>
      <c r="E129" s="221"/>
      <c r="F129" s="222"/>
      <c r="G129" s="220"/>
      <c r="H129" s="221"/>
      <c r="I129" s="222"/>
      <c r="J129" s="220"/>
      <c r="K129" s="221"/>
      <c r="L129" s="222"/>
      <c r="M129" s="220"/>
      <c r="N129" s="221"/>
      <c r="O129" s="221"/>
      <c r="P129" s="625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4"/>
    </row>
    <row r="130" spans="1:48" s="37" customFormat="1" ht="14.25" customHeight="1" x14ac:dyDescent="0.25">
      <c r="A130" s="220"/>
      <c r="B130" s="221"/>
      <c r="C130" s="222"/>
      <c r="D130" s="220"/>
      <c r="E130" s="221"/>
      <c r="F130" s="222"/>
      <c r="G130" s="220"/>
      <c r="H130" s="221"/>
      <c r="I130" s="222"/>
      <c r="J130" s="220"/>
      <c r="K130" s="221"/>
      <c r="L130" s="222"/>
      <c r="M130" s="220"/>
      <c r="N130" s="221"/>
      <c r="O130" s="221"/>
      <c r="P130" s="625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4"/>
    </row>
    <row r="131" spans="1:48" s="37" customFormat="1" ht="14.25" customHeight="1" x14ac:dyDescent="0.25">
      <c r="A131" s="220"/>
      <c r="B131" s="221"/>
      <c r="C131" s="222"/>
      <c r="D131" s="220"/>
      <c r="E131" s="221"/>
      <c r="F131" s="222"/>
      <c r="G131" s="220"/>
      <c r="H131" s="221"/>
      <c r="I131" s="222"/>
      <c r="J131" s="220"/>
      <c r="K131" s="221"/>
      <c r="L131" s="222"/>
      <c r="M131" s="220"/>
      <c r="N131" s="221"/>
      <c r="O131" s="221"/>
      <c r="P131" s="625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4"/>
    </row>
    <row r="132" spans="1:48" s="37" customFormat="1" ht="14.25" customHeight="1" x14ac:dyDescent="0.25">
      <c r="A132" s="220"/>
      <c r="B132" s="221"/>
      <c r="C132" s="222"/>
      <c r="D132" s="220"/>
      <c r="E132" s="221"/>
      <c r="F132" s="222"/>
      <c r="G132" s="220"/>
      <c r="H132" s="221"/>
      <c r="I132" s="222"/>
      <c r="J132" s="220"/>
      <c r="K132" s="221"/>
      <c r="L132" s="222"/>
      <c r="M132" s="220"/>
      <c r="N132" s="221"/>
      <c r="O132" s="221"/>
      <c r="P132" s="625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4"/>
    </row>
    <row r="133" spans="1:48" s="37" customFormat="1" ht="14.25" customHeight="1" x14ac:dyDescent="0.25">
      <c r="A133" s="220"/>
      <c r="B133" s="221"/>
      <c r="C133" s="222"/>
      <c r="D133" s="220"/>
      <c r="E133" s="221"/>
      <c r="F133" s="222"/>
      <c r="G133" s="220"/>
      <c r="H133" s="221"/>
      <c r="I133" s="222"/>
      <c r="J133" s="220"/>
      <c r="K133" s="221"/>
      <c r="L133" s="222"/>
      <c r="M133" s="220"/>
      <c r="N133" s="221"/>
      <c r="O133" s="221"/>
      <c r="P133" s="625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4"/>
    </row>
    <row r="134" spans="1:48" s="37" customFormat="1" ht="14.25" customHeight="1" x14ac:dyDescent="0.25">
      <c r="A134" s="220"/>
      <c r="B134" s="221"/>
      <c r="C134" s="222"/>
      <c r="D134" s="220"/>
      <c r="E134" s="221"/>
      <c r="F134" s="222"/>
      <c r="G134" s="220"/>
      <c r="H134" s="221"/>
      <c r="I134" s="222"/>
      <c r="J134" s="220"/>
      <c r="K134" s="221"/>
      <c r="L134" s="222"/>
      <c r="M134" s="220"/>
      <c r="N134" s="221"/>
      <c r="O134" s="221"/>
      <c r="P134" s="625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4"/>
    </row>
    <row r="135" spans="1:48" s="37" customFormat="1" ht="14.25" customHeight="1" x14ac:dyDescent="0.25">
      <c r="A135" s="220"/>
      <c r="B135" s="221"/>
      <c r="C135" s="222"/>
      <c r="D135" s="220"/>
      <c r="E135" s="221"/>
      <c r="F135" s="222"/>
      <c r="G135" s="220"/>
      <c r="H135" s="221"/>
      <c r="I135" s="222"/>
      <c r="J135" s="220"/>
      <c r="K135" s="221"/>
      <c r="L135" s="222"/>
      <c r="M135" s="220"/>
      <c r="N135" s="221"/>
      <c r="O135" s="221"/>
      <c r="P135" s="625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4"/>
    </row>
    <row r="136" spans="1:48" s="37" customFormat="1" ht="14.25" customHeight="1" x14ac:dyDescent="0.25">
      <c r="A136" s="220"/>
      <c r="B136" s="221"/>
      <c r="C136" s="222"/>
      <c r="D136" s="220"/>
      <c r="E136" s="221"/>
      <c r="F136" s="222"/>
      <c r="G136" s="220"/>
      <c r="H136" s="221"/>
      <c r="I136" s="222"/>
      <c r="J136" s="220"/>
      <c r="K136" s="221"/>
      <c r="L136" s="222"/>
      <c r="M136" s="220"/>
      <c r="N136" s="221"/>
      <c r="O136" s="221"/>
      <c r="P136" s="625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4"/>
    </row>
    <row r="137" spans="1:48" s="37" customFormat="1" ht="14.25" customHeight="1" x14ac:dyDescent="0.25">
      <c r="A137" s="220"/>
      <c r="B137" s="221"/>
      <c r="C137" s="222"/>
      <c r="D137" s="220"/>
      <c r="E137" s="221"/>
      <c r="F137" s="222"/>
      <c r="G137" s="220"/>
      <c r="H137" s="221"/>
      <c r="I137" s="222"/>
      <c r="J137" s="220"/>
      <c r="K137" s="221"/>
      <c r="L137" s="222"/>
      <c r="M137" s="220"/>
      <c r="N137" s="221"/>
      <c r="O137" s="221"/>
      <c r="P137" s="625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4"/>
    </row>
    <row r="138" spans="1:48" s="37" customFormat="1" ht="14.25" customHeight="1" x14ac:dyDescent="0.25">
      <c r="A138" s="220"/>
      <c r="B138" s="221"/>
      <c r="C138" s="222"/>
      <c r="D138" s="220"/>
      <c r="E138" s="221"/>
      <c r="F138" s="222"/>
      <c r="G138" s="220"/>
      <c r="H138" s="221"/>
      <c r="I138" s="222"/>
      <c r="J138" s="220"/>
      <c r="K138" s="221"/>
      <c r="L138" s="222"/>
      <c r="M138" s="220"/>
      <c r="N138" s="221"/>
      <c r="O138" s="221"/>
      <c r="P138" s="625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4"/>
    </row>
    <row r="139" spans="1:48" s="37" customFormat="1" ht="14.25" customHeight="1" thickBot="1" x14ac:dyDescent="0.3">
      <c r="A139" s="407"/>
      <c r="B139" s="408"/>
      <c r="C139" s="409"/>
      <c r="D139" s="407"/>
      <c r="E139" s="408"/>
      <c r="F139" s="409"/>
      <c r="G139" s="407"/>
      <c r="H139" s="408"/>
      <c r="I139" s="409"/>
      <c r="J139" s="407"/>
      <c r="K139" s="408"/>
      <c r="L139" s="409"/>
      <c r="M139" s="407"/>
      <c r="N139" s="408"/>
      <c r="O139" s="408"/>
      <c r="P139" s="626"/>
      <c r="Q139" s="627"/>
      <c r="R139" s="627"/>
      <c r="S139" s="627"/>
      <c r="T139" s="627"/>
      <c r="U139" s="627"/>
      <c r="V139" s="627"/>
      <c r="W139" s="627"/>
      <c r="X139" s="627"/>
      <c r="Y139" s="627"/>
      <c r="Z139" s="627"/>
      <c r="AA139" s="627"/>
      <c r="AB139" s="627"/>
      <c r="AC139" s="627"/>
      <c r="AD139" s="627"/>
      <c r="AE139" s="627"/>
      <c r="AF139" s="627"/>
      <c r="AG139" s="627"/>
      <c r="AH139" s="628"/>
    </row>
    <row r="140" spans="1:48" s="37" customFormat="1" ht="14.25" customHeight="1" x14ac:dyDescent="0.25">
      <c r="Q140" s="39" t="s">
        <v>164</v>
      </c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473"/>
      <c r="AF140" s="474"/>
      <c r="AG140" s="475"/>
      <c r="AH140" s="50"/>
      <c r="AI140" s="209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</row>
    <row r="141" spans="1:48" s="53" customFormat="1" ht="3" customHeight="1" x14ac:dyDescent="0.25"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98"/>
      <c r="AF141" s="98"/>
      <c r="AG141" s="98"/>
      <c r="AH141" s="18"/>
    </row>
    <row r="142" spans="1:48" ht="3" customHeight="1" thickBot="1" x14ac:dyDescent="0.3">
      <c r="A142" s="116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  <c r="AG142" s="116"/>
      <c r="AH142" s="116"/>
    </row>
    <row r="143" spans="1:48" ht="15.75" customHeight="1" thickTop="1" thickBot="1" x14ac:dyDescent="0.3">
      <c r="A143" s="318" t="s">
        <v>221</v>
      </c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  <c r="Z143" s="318"/>
      <c r="AA143" s="318"/>
      <c r="AB143" s="318"/>
      <c r="AC143" s="318"/>
      <c r="AD143" s="318"/>
      <c r="AE143" s="318"/>
      <c r="AF143" s="318"/>
      <c r="AG143" s="318"/>
      <c r="AH143" s="318"/>
    </row>
    <row r="144" spans="1:48" ht="6" customHeight="1" thickTop="1" x14ac:dyDescent="0.25">
      <c r="X144" s="30"/>
    </row>
    <row r="145" spans="1:34" ht="14.65" customHeight="1" x14ac:dyDescent="0.25">
      <c r="A145" s="45"/>
      <c r="B145" s="45"/>
      <c r="C145" s="45"/>
      <c r="D145" s="45"/>
      <c r="E145" s="45"/>
      <c r="F145" s="501" t="s">
        <v>11</v>
      </c>
      <c r="G145" s="501"/>
      <c r="H145" s="501"/>
      <c r="I145" s="501"/>
      <c r="J145" s="501"/>
      <c r="K145" s="501"/>
      <c r="L145" s="501"/>
      <c r="M145" s="501"/>
      <c r="N145" s="58"/>
      <c r="O145" s="501" t="s">
        <v>12</v>
      </c>
      <c r="P145" s="501"/>
      <c r="Q145" s="501"/>
      <c r="R145" s="501"/>
      <c r="S145" s="501"/>
      <c r="T145" s="501"/>
      <c r="U145" s="501"/>
      <c r="V145" s="501"/>
      <c r="W145" s="501"/>
      <c r="X145" s="501"/>
      <c r="Y145" s="56"/>
      <c r="Z145" s="57" t="s">
        <v>8</v>
      </c>
      <c r="AA145" s="56"/>
      <c r="AB145" s="56"/>
      <c r="AC145" s="56"/>
      <c r="AD145" s="56"/>
      <c r="AE145" s="56"/>
      <c r="AF145" s="31"/>
      <c r="AG145" s="31"/>
      <c r="AH145" s="32"/>
    </row>
    <row r="146" spans="1:34" ht="120.75" customHeight="1" x14ac:dyDescent="0.25">
      <c r="A146" s="502" t="s">
        <v>38</v>
      </c>
      <c r="B146" s="502"/>
      <c r="C146" s="502"/>
      <c r="D146" s="502"/>
      <c r="E146" s="502"/>
      <c r="F146" s="529">
        <v>1</v>
      </c>
      <c r="G146" s="529"/>
      <c r="H146" s="529"/>
      <c r="I146" s="529"/>
      <c r="J146" s="529"/>
      <c r="K146" s="529"/>
      <c r="L146" s="529"/>
      <c r="M146" s="529"/>
      <c r="N146" s="529"/>
      <c r="O146" s="529"/>
      <c r="P146" s="528">
        <v>1</v>
      </c>
      <c r="Q146" s="528"/>
      <c r="R146" s="528"/>
      <c r="S146" s="528"/>
      <c r="T146" s="528"/>
      <c r="U146" s="528"/>
      <c r="V146" s="528"/>
      <c r="W146" s="528"/>
      <c r="X146" s="528"/>
      <c r="Y146" s="528"/>
      <c r="Z146" s="499" t="s">
        <v>161</v>
      </c>
      <c r="AA146" s="500"/>
      <c r="AB146" s="500"/>
      <c r="AC146" s="500"/>
      <c r="AD146" s="500"/>
      <c r="AE146" s="500"/>
      <c r="AF146" s="500"/>
      <c r="AG146" s="500"/>
      <c r="AH146" s="500"/>
    </row>
    <row r="147" spans="1:34" ht="72.75" customHeight="1" x14ac:dyDescent="0.25">
      <c r="A147" s="502" t="s">
        <v>160</v>
      </c>
      <c r="B147" s="502"/>
      <c r="C147" s="502"/>
      <c r="D147" s="502"/>
      <c r="E147" s="502"/>
      <c r="F147" s="530">
        <v>1</v>
      </c>
      <c r="G147" s="530"/>
      <c r="H147" s="530"/>
      <c r="I147" s="530"/>
      <c r="J147" s="530"/>
      <c r="K147" s="530"/>
      <c r="L147" s="530"/>
      <c r="M147" s="530"/>
      <c r="N147" s="530"/>
      <c r="O147" s="530"/>
      <c r="P147" s="531">
        <v>1</v>
      </c>
      <c r="Q147" s="531"/>
      <c r="R147" s="531"/>
      <c r="S147" s="531"/>
      <c r="T147" s="531"/>
      <c r="U147" s="531"/>
      <c r="V147" s="531"/>
      <c r="W147" s="531"/>
      <c r="X147" s="531"/>
      <c r="Y147" s="531"/>
      <c r="Z147" s="500"/>
      <c r="AA147" s="500"/>
      <c r="AB147" s="500"/>
      <c r="AC147" s="500"/>
      <c r="AD147" s="500"/>
      <c r="AE147" s="500"/>
      <c r="AF147" s="500"/>
      <c r="AG147" s="500"/>
      <c r="AH147" s="500"/>
    </row>
    <row r="148" spans="1:34" ht="6" customHeight="1" x14ac:dyDescent="0.25"/>
    <row r="149" spans="1:34" s="53" customFormat="1" ht="15" customHeight="1" x14ac:dyDescent="0.25">
      <c r="A149" s="568" t="s">
        <v>116</v>
      </c>
      <c r="B149" s="568"/>
      <c r="C149" s="568"/>
      <c r="D149" s="568"/>
      <c r="E149" s="568"/>
      <c r="F149" s="568"/>
      <c r="G149" s="568"/>
      <c r="H149" s="568"/>
      <c r="I149" s="568"/>
      <c r="J149" s="568"/>
      <c r="K149" s="568"/>
      <c r="L149" s="568"/>
      <c r="M149" s="568"/>
      <c r="N149" s="568"/>
      <c r="O149" s="568"/>
      <c r="P149" s="568"/>
      <c r="Q149" s="568"/>
      <c r="R149" s="568"/>
      <c r="S149" s="568"/>
      <c r="T149" s="568"/>
      <c r="U149" s="568"/>
      <c r="V149" s="568"/>
      <c r="W149" s="568"/>
      <c r="X149" s="568"/>
      <c r="Y149" s="568"/>
      <c r="Z149" s="568"/>
      <c r="AA149" s="568"/>
      <c r="AB149" s="568"/>
      <c r="AC149" s="568"/>
      <c r="AD149" s="568"/>
      <c r="AE149" s="568"/>
      <c r="AF149" s="568"/>
      <c r="AG149" s="568"/>
      <c r="AH149" s="568"/>
    </row>
    <row r="150" spans="1:34" s="53" customFormat="1" ht="15" customHeight="1" x14ac:dyDescent="0.25">
      <c r="A150" s="534"/>
      <c r="B150" s="535"/>
      <c r="C150" s="535"/>
      <c r="D150" s="535"/>
      <c r="E150" s="535"/>
      <c r="F150" s="535"/>
      <c r="G150" s="535"/>
      <c r="H150" s="535"/>
      <c r="I150" s="535"/>
      <c r="J150" s="535"/>
      <c r="K150" s="535"/>
      <c r="L150" s="535"/>
      <c r="M150" s="535"/>
      <c r="N150" s="535"/>
      <c r="O150" s="535"/>
      <c r="P150" s="535"/>
      <c r="Q150" s="535"/>
      <c r="R150" s="535"/>
      <c r="S150" s="535"/>
      <c r="T150" s="535"/>
      <c r="U150" s="535"/>
      <c r="V150" s="535"/>
      <c r="W150" s="535"/>
      <c r="X150" s="535"/>
      <c r="Y150" s="535"/>
      <c r="Z150" s="535"/>
      <c r="AA150" s="535"/>
      <c r="AB150" s="535"/>
      <c r="AC150" s="535"/>
      <c r="AD150" s="535"/>
      <c r="AE150" s="535"/>
      <c r="AF150" s="535"/>
      <c r="AG150" s="535"/>
      <c r="AH150" s="536"/>
    </row>
    <row r="151" spans="1:34" s="53" customFormat="1" ht="15" customHeight="1" x14ac:dyDescent="0.25">
      <c r="A151" s="537"/>
      <c r="B151" s="538"/>
      <c r="C151" s="538"/>
      <c r="D151" s="538"/>
      <c r="E151" s="538"/>
      <c r="F151" s="538"/>
      <c r="G151" s="538"/>
      <c r="H151" s="538"/>
      <c r="I151" s="538"/>
      <c r="J151" s="538"/>
      <c r="K151" s="538"/>
      <c r="L151" s="538"/>
      <c r="M151" s="538"/>
      <c r="N151" s="538"/>
      <c r="O151" s="538"/>
      <c r="P151" s="538"/>
      <c r="Q151" s="538"/>
      <c r="R151" s="538"/>
      <c r="S151" s="538"/>
      <c r="T151" s="538"/>
      <c r="U151" s="538"/>
      <c r="V151" s="538"/>
      <c r="W151" s="538"/>
      <c r="X151" s="538"/>
      <c r="Y151" s="538"/>
      <c r="Z151" s="538"/>
      <c r="AA151" s="538"/>
      <c r="AB151" s="538"/>
      <c r="AC151" s="538"/>
      <c r="AD151" s="538"/>
      <c r="AE151" s="538"/>
      <c r="AF151" s="538"/>
      <c r="AG151" s="538"/>
      <c r="AH151" s="539"/>
    </row>
    <row r="152" spans="1:34" s="53" customFormat="1" ht="1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 s="629" t="s">
        <v>11</v>
      </c>
      <c r="AA152" s="629"/>
      <c r="AB152" s="629"/>
      <c r="AC152" s="629"/>
      <c r="AD152" s="21"/>
      <c r="AE152" s="458" t="s">
        <v>12</v>
      </c>
      <c r="AF152" s="458"/>
      <c r="AG152" s="458"/>
      <c r="AH152" s="458"/>
    </row>
    <row r="153" spans="1:34" s="53" customFormat="1" ht="15" customHeight="1" x14ac:dyDescent="0.25">
      <c r="A153"/>
      <c r="B153"/>
      <c r="C153"/>
      <c r="D153" s="346" t="s">
        <v>192</v>
      </c>
      <c r="E153" s="346"/>
      <c r="F153" s="346"/>
      <c r="G153" s="346"/>
      <c r="H153" s="346"/>
      <c r="I153" s="346"/>
      <c r="J153" s="346"/>
      <c r="K153" s="346"/>
      <c r="L153" s="346"/>
      <c r="M153" s="346"/>
      <c r="N153" s="346"/>
      <c r="O153" s="346"/>
      <c r="P153" s="346"/>
      <c r="Q153" s="346"/>
      <c r="R153" s="346"/>
      <c r="S153" s="346"/>
      <c r="T153" s="346"/>
      <c r="U153" s="346"/>
      <c r="V153" s="346"/>
      <c r="W153" s="346"/>
      <c r="X153" s="346"/>
      <c r="Y153"/>
      <c r="Z153" s="424">
        <f>U259</f>
        <v>0</v>
      </c>
      <c r="AA153" s="423"/>
      <c r="AB153" s="423"/>
      <c r="AC153" s="437"/>
      <c r="AD153"/>
      <c r="AE153" s="424">
        <f>Z259</f>
        <v>0</v>
      </c>
      <c r="AF153" s="423"/>
      <c r="AG153" s="423"/>
      <c r="AH153" s="437"/>
    </row>
    <row r="154" spans="1:34" s="53" customFormat="1" ht="15" customHeight="1" x14ac:dyDescent="0.25">
      <c r="A154" s="47"/>
      <c r="B154" s="47"/>
      <c r="C154" s="47"/>
      <c r="D154" s="346" t="s">
        <v>186</v>
      </c>
      <c r="E154" s="346"/>
      <c r="F154" s="346"/>
      <c r="G154" s="346"/>
      <c r="H154" s="346"/>
      <c r="I154" s="346"/>
      <c r="J154" s="346"/>
      <c r="K154" s="346"/>
      <c r="L154" s="346"/>
      <c r="M154" s="346"/>
      <c r="N154" s="346"/>
      <c r="O154" s="346"/>
      <c r="P154" s="346"/>
      <c r="Q154" s="346"/>
      <c r="R154" s="346"/>
      <c r="S154" s="346"/>
      <c r="T154" s="346"/>
      <c r="U154" s="346"/>
      <c r="V154" s="346"/>
      <c r="W154" s="346"/>
      <c r="X154" s="346"/>
      <c r="Y154"/>
      <c r="Z154" s="424"/>
      <c r="AA154" s="423"/>
      <c r="AB154" s="423"/>
      <c r="AC154" s="437"/>
      <c r="AD154"/>
      <c r="AE154" s="424"/>
      <c r="AF154" s="423"/>
      <c r="AG154" s="423"/>
      <c r="AH154" s="437"/>
    </row>
    <row r="155" spans="1:34" s="53" customFormat="1" ht="15" customHeight="1" x14ac:dyDescent="0.25">
      <c r="X155" s="30"/>
    </row>
    <row r="156" spans="1:34" ht="13.5" customHeight="1" x14ac:dyDescent="0.25">
      <c r="A156" s="584" t="s">
        <v>225</v>
      </c>
      <c r="B156" s="584"/>
      <c r="C156" s="584"/>
      <c r="D156" s="584"/>
      <c r="E156" s="584"/>
      <c r="F156" s="584"/>
      <c r="G156" s="584"/>
      <c r="H156" s="584"/>
      <c r="I156" s="471" t="s">
        <v>153</v>
      </c>
      <c r="J156" s="471"/>
      <c r="K156" s="471"/>
      <c r="L156" s="471"/>
      <c r="M156" s="471"/>
      <c r="N156" s="471"/>
      <c r="O156" s="471"/>
      <c r="P156" s="471" t="s">
        <v>154</v>
      </c>
      <c r="Q156" s="471"/>
      <c r="R156" s="471"/>
      <c r="S156" s="471"/>
      <c r="T156" s="471"/>
      <c r="U156" s="471"/>
      <c r="V156" s="471"/>
      <c r="W156" s="471" t="s">
        <v>155</v>
      </c>
      <c r="X156" s="471"/>
      <c r="Y156" s="471"/>
      <c r="Z156" s="471"/>
      <c r="AA156" s="471"/>
      <c r="AB156" s="471"/>
      <c r="AC156" s="471"/>
      <c r="AD156" s="471"/>
      <c r="AE156" s="471"/>
      <c r="AF156" s="471"/>
      <c r="AG156" s="471"/>
      <c r="AH156" s="471"/>
    </row>
    <row r="157" spans="1:34" ht="15" customHeight="1" x14ac:dyDescent="0.25">
      <c r="A157" s="584"/>
      <c r="B157" s="584"/>
      <c r="C157" s="584"/>
      <c r="D157" s="584"/>
      <c r="E157" s="584"/>
      <c r="F157" s="584"/>
      <c r="G157" s="584"/>
      <c r="H157" s="584"/>
      <c r="I157" s="471"/>
      <c r="J157" s="471"/>
      <c r="K157" s="471"/>
      <c r="L157" s="471"/>
      <c r="M157" s="471"/>
      <c r="N157" s="471"/>
      <c r="O157" s="471"/>
      <c r="P157" s="471"/>
      <c r="Q157" s="471"/>
      <c r="R157" s="471"/>
      <c r="S157" s="471"/>
      <c r="T157" s="471"/>
      <c r="U157" s="471"/>
      <c r="V157" s="471"/>
      <c r="W157" s="471"/>
      <c r="X157" s="471"/>
      <c r="Y157" s="471"/>
      <c r="Z157" s="471"/>
      <c r="AA157" s="471"/>
      <c r="AB157" s="471"/>
      <c r="AC157" s="471"/>
      <c r="AD157" s="471"/>
      <c r="AE157" s="471"/>
      <c r="AF157" s="471"/>
      <c r="AG157" s="471"/>
      <c r="AH157" s="471"/>
    </row>
    <row r="158" spans="1:34" ht="15" customHeight="1" x14ac:dyDescent="0.25">
      <c r="A158" s="584"/>
      <c r="B158" s="584"/>
      <c r="C158" s="584"/>
      <c r="D158" s="584"/>
      <c r="E158" s="584"/>
      <c r="F158" s="584"/>
      <c r="G158" s="584"/>
      <c r="H158" s="584"/>
      <c r="I158" s="471"/>
      <c r="J158" s="471"/>
      <c r="K158" s="471"/>
      <c r="L158" s="471"/>
      <c r="M158" s="471"/>
      <c r="N158" s="471"/>
      <c r="O158" s="471"/>
      <c r="P158" s="471"/>
      <c r="Q158" s="471"/>
      <c r="R158" s="471"/>
      <c r="S158" s="471"/>
      <c r="T158" s="471"/>
      <c r="U158" s="471"/>
      <c r="V158" s="471"/>
      <c r="W158" s="471"/>
      <c r="X158" s="471"/>
      <c r="Y158" s="471"/>
      <c r="Z158" s="471"/>
      <c r="AA158" s="471"/>
      <c r="AB158" s="471"/>
      <c r="AC158" s="471"/>
      <c r="AD158" s="471"/>
      <c r="AE158" s="471"/>
      <c r="AF158" s="471"/>
      <c r="AG158" s="471"/>
      <c r="AH158" s="471"/>
    </row>
    <row r="159" spans="1:34" ht="14.65" customHeight="1" x14ac:dyDescent="0.25">
      <c r="A159" s="584"/>
      <c r="B159" s="584"/>
      <c r="C159" s="584"/>
      <c r="D159" s="584"/>
      <c r="E159" s="584"/>
      <c r="F159" s="584"/>
      <c r="G159" s="584"/>
      <c r="H159" s="584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1"/>
      <c r="AC159" s="471"/>
      <c r="AD159" s="471"/>
      <c r="AE159" s="471"/>
      <c r="AF159" s="471"/>
      <c r="AG159" s="471"/>
      <c r="AH159" s="471"/>
    </row>
    <row r="160" spans="1:34" ht="14.65" customHeight="1" x14ac:dyDescent="0.25">
      <c r="A160" s="584"/>
      <c r="B160" s="584"/>
      <c r="C160" s="584"/>
      <c r="D160" s="584"/>
      <c r="E160" s="584"/>
      <c r="F160" s="584"/>
      <c r="G160" s="584"/>
      <c r="H160" s="584"/>
      <c r="I160" s="471"/>
      <c r="J160" s="471"/>
      <c r="K160" s="471"/>
      <c r="L160" s="471"/>
      <c r="M160" s="471"/>
      <c r="N160" s="471"/>
      <c r="O160" s="471"/>
      <c r="P160" s="471"/>
      <c r="Q160" s="471"/>
      <c r="R160" s="471"/>
      <c r="S160" s="471"/>
      <c r="T160" s="471"/>
      <c r="U160" s="471"/>
      <c r="V160" s="471"/>
      <c r="W160" s="471"/>
      <c r="X160" s="471"/>
      <c r="Y160" s="471"/>
      <c r="Z160" s="471"/>
      <c r="AA160" s="471"/>
      <c r="AB160" s="471"/>
      <c r="AC160" s="471"/>
      <c r="AD160" s="471"/>
      <c r="AE160" s="471"/>
      <c r="AF160" s="471"/>
      <c r="AG160" s="471"/>
      <c r="AH160" s="471"/>
    </row>
    <row r="161" spans="1:41" ht="14.25" customHeight="1" x14ac:dyDescent="0.25">
      <c r="A161" s="584"/>
      <c r="B161" s="584"/>
      <c r="C161" s="584"/>
      <c r="D161" s="584"/>
      <c r="E161" s="584"/>
      <c r="F161" s="584"/>
      <c r="G161" s="584"/>
      <c r="H161" s="584"/>
      <c r="I161" s="471"/>
      <c r="J161" s="471"/>
      <c r="K161" s="471"/>
      <c r="L161" s="471"/>
      <c r="M161" s="471"/>
      <c r="N161" s="471"/>
      <c r="O161" s="471"/>
      <c r="P161" s="471"/>
      <c r="Q161" s="471"/>
      <c r="R161" s="471"/>
      <c r="S161" s="471"/>
      <c r="T161" s="471"/>
      <c r="U161" s="471"/>
      <c r="V161" s="471"/>
      <c r="W161" s="471"/>
      <c r="X161" s="471"/>
      <c r="Y161" s="471"/>
      <c r="Z161" s="471"/>
      <c r="AA161" s="471"/>
      <c r="AB161" s="471"/>
      <c r="AC161" s="471"/>
      <c r="AD161" s="471"/>
      <c r="AE161" s="471"/>
      <c r="AF161" s="471"/>
      <c r="AG161" s="471"/>
      <c r="AH161" s="471"/>
    </row>
    <row r="162" spans="1:41" s="13" customFormat="1" ht="14.25" customHeight="1" x14ac:dyDescent="0.25">
      <c r="A162" s="584"/>
      <c r="B162" s="584"/>
      <c r="C162" s="584"/>
      <c r="D162" s="584"/>
      <c r="E162" s="584"/>
      <c r="F162" s="584"/>
      <c r="G162" s="584"/>
      <c r="H162" s="584"/>
      <c r="I162" s="471"/>
      <c r="J162" s="471"/>
      <c r="K162" s="471"/>
      <c r="L162" s="471"/>
      <c r="M162" s="471"/>
      <c r="N162" s="471"/>
      <c r="O162" s="471"/>
      <c r="P162" s="471"/>
      <c r="Q162" s="471"/>
      <c r="R162" s="471"/>
      <c r="S162" s="471"/>
      <c r="T162" s="471"/>
      <c r="U162" s="471"/>
      <c r="V162" s="471"/>
      <c r="W162" s="471"/>
      <c r="X162" s="471"/>
      <c r="Y162" s="471"/>
      <c r="Z162" s="471"/>
      <c r="AA162" s="471"/>
      <c r="AB162" s="471"/>
      <c r="AC162" s="471"/>
      <c r="AD162" s="471"/>
      <c r="AE162" s="471"/>
      <c r="AF162" s="471"/>
      <c r="AG162" s="471"/>
      <c r="AH162" s="471"/>
    </row>
    <row r="163" spans="1:41" ht="14.65" customHeight="1" x14ac:dyDescent="0.25">
      <c r="A163" s="532" t="s">
        <v>156</v>
      </c>
      <c r="B163" s="532"/>
      <c r="C163" s="532"/>
      <c r="D163" s="532"/>
      <c r="E163" s="532"/>
      <c r="F163" s="532"/>
      <c r="G163" s="532"/>
      <c r="H163" s="532"/>
      <c r="I163" s="533"/>
      <c r="J163" s="533"/>
      <c r="K163" s="533"/>
      <c r="L163" s="533"/>
      <c r="M163" s="533"/>
      <c r="N163" s="533"/>
      <c r="O163" s="533"/>
      <c r="P163" s="472"/>
      <c r="Q163" s="472"/>
      <c r="R163" s="472"/>
      <c r="S163" s="472"/>
      <c r="T163" s="472"/>
      <c r="U163" s="472"/>
      <c r="V163" s="472"/>
      <c r="W163" s="472"/>
      <c r="X163" s="472"/>
      <c r="Y163" s="472"/>
      <c r="Z163" s="472"/>
      <c r="AA163" s="472"/>
      <c r="AB163" s="472"/>
      <c r="AC163" s="472"/>
      <c r="AD163" s="472"/>
      <c r="AE163" s="472"/>
      <c r="AF163" s="472"/>
      <c r="AG163" s="472"/>
      <c r="AH163" s="472"/>
    </row>
    <row r="164" spans="1:41" ht="14.65" customHeight="1" x14ac:dyDescent="0.25">
      <c r="A164" s="532" t="s">
        <v>157</v>
      </c>
      <c r="B164" s="532"/>
      <c r="C164" s="532"/>
      <c r="D164" s="532"/>
      <c r="E164" s="532"/>
      <c r="F164" s="532"/>
      <c r="G164" s="532"/>
      <c r="H164" s="532"/>
      <c r="I164" s="533"/>
      <c r="J164" s="533"/>
      <c r="K164" s="533"/>
      <c r="L164" s="533"/>
      <c r="M164" s="533"/>
      <c r="N164" s="533"/>
      <c r="O164" s="533"/>
      <c r="P164" s="472"/>
      <c r="Q164" s="472"/>
      <c r="R164" s="472"/>
      <c r="S164" s="472"/>
      <c r="T164" s="472"/>
      <c r="U164" s="472"/>
      <c r="V164" s="472"/>
      <c r="W164" s="472"/>
      <c r="X164" s="472"/>
      <c r="Y164" s="472"/>
      <c r="Z164" s="472"/>
      <c r="AA164" s="472"/>
      <c r="AB164" s="472"/>
      <c r="AC164" s="472"/>
      <c r="AD164" s="472"/>
      <c r="AE164" s="472"/>
      <c r="AF164" s="472"/>
      <c r="AG164" s="472"/>
      <c r="AH164" s="472"/>
    </row>
    <row r="165" spans="1:41" s="53" customFormat="1" ht="14.65" customHeight="1" x14ac:dyDescent="0.25">
      <c r="A165" s="532"/>
      <c r="B165" s="532"/>
      <c r="C165" s="532"/>
      <c r="D165" s="532"/>
      <c r="E165" s="532"/>
      <c r="F165" s="532"/>
      <c r="G165" s="532"/>
      <c r="H165" s="532"/>
      <c r="I165" s="533"/>
      <c r="J165" s="533"/>
      <c r="K165" s="533"/>
      <c r="L165" s="533"/>
      <c r="M165" s="533"/>
      <c r="N165" s="533"/>
      <c r="O165" s="533"/>
      <c r="P165" s="472"/>
      <c r="Q165" s="472"/>
      <c r="R165" s="472"/>
      <c r="S165" s="472"/>
      <c r="T165" s="472"/>
      <c r="U165" s="472"/>
      <c r="V165" s="472"/>
      <c r="W165" s="472"/>
      <c r="X165" s="472"/>
      <c r="Y165" s="472"/>
      <c r="Z165" s="472"/>
      <c r="AA165" s="472"/>
      <c r="AB165" s="472"/>
      <c r="AC165" s="472"/>
      <c r="AD165" s="472"/>
      <c r="AE165" s="472"/>
      <c r="AF165" s="472"/>
      <c r="AG165" s="472"/>
      <c r="AH165" s="472"/>
    </row>
    <row r="166" spans="1:41" x14ac:dyDescent="0.25">
      <c r="A166" s="532"/>
      <c r="B166" s="532"/>
      <c r="C166" s="532"/>
      <c r="D166" s="532"/>
      <c r="E166" s="532"/>
      <c r="F166" s="532"/>
      <c r="G166" s="532"/>
      <c r="H166" s="532"/>
      <c r="I166" s="533"/>
      <c r="J166" s="533"/>
      <c r="K166" s="533"/>
      <c r="L166" s="533"/>
      <c r="M166" s="533"/>
      <c r="N166" s="533"/>
      <c r="O166" s="533"/>
      <c r="P166" s="472"/>
      <c r="Q166" s="472"/>
      <c r="R166" s="472"/>
      <c r="S166" s="472"/>
      <c r="T166" s="472"/>
      <c r="U166" s="472"/>
      <c r="V166" s="472"/>
      <c r="W166" s="472"/>
      <c r="X166" s="472"/>
      <c r="Y166" s="472"/>
      <c r="Z166" s="472"/>
      <c r="AA166" s="472"/>
      <c r="AB166" s="472"/>
      <c r="AC166" s="472"/>
      <c r="AD166" s="472"/>
      <c r="AE166" s="472"/>
      <c r="AF166" s="472"/>
      <c r="AG166" s="472"/>
      <c r="AH166" s="472"/>
      <c r="AO166" s="53"/>
    </row>
    <row r="167" spans="1:41" s="53" customFormat="1" ht="11.25" customHeight="1" x14ac:dyDescent="0.25">
      <c r="A167" s="532"/>
      <c r="B167" s="532"/>
      <c r="C167" s="532"/>
      <c r="D167" s="532"/>
      <c r="E167" s="532"/>
      <c r="F167" s="532"/>
      <c r="G167" s="532"/>
      <c r="H167" s="532"/>
      <c r="I167" s="533"/>
      <c r="J167" s="533"/>
      <c r="K167" s="533"/>
      <c r="L167" s="533"/>
      <c r="M167" s="533"/>
      <c r="N167" s="533"/>
      <c r="O167" s="533"/>
      <c r="P167" s="472"/>
      <c r="Q167" s="472"/>
      <c r="R167" s="472"/>
      <c r="S167" s="472"/>
      <c r="T167" s="472"/>
      <c r="U167" s="472"/>
      <c r="V167" s="472"/>
      <c r="W167" s="472"/>
      <c r="X167" s="472"/>
      <c r="Y167" s="472"/>
      <c r="Z167" s="472"/>
      <c r="AA167" s="472"/>
      <c r="AB167" s="472"/>
      <c r="AC167" s="472"/>
      <c r="AD167" s="472"/>
      <c r="AE167" s="472"/>
      <c r="AF167" s="472"/>
      <c r="AG167" s="472"/>
      <c r="AH167" s="472"/>
      <c r="AO167"/>
    </row>
    <row r="168" spans="1:41" s="53" customFormat="1" x14ac:dyDescent="0.25">
      <c r="A168" s="532" t="s">
        <v>158</v>
      </c>
      <c r="B168" s="532"/>
      <c r="C168" s="532"/>
      <c r="D168" s="532"/>
      <c r="E168" s="532"/>
      <c r="F168" s="532"/>
      <c r="G168" s="532"/>
      <c r="H168" s="532"/>
      <c r="I168" s="533"/>
      <c r="J168" s="533"/>
      <c r="K168" s="533"/>
      <c r="L168" s="533"/>
      <c r="M168" s="533"/>
      <c r="N168" s="533"/>
      <c r="O168" s="533"/>
      <c r="P168" s="472"/>
      <c r="Q168" s="472"/>
      <c r="R168" s="472"/>
      <c r="S168" s="472"/>
      <c r="T168" s="472"/>
      <c r="U168" s="472"/>
      <c r="V168" s="472"/>
      <c r="W168" s="472"/>
      <c r="X168" s="472"/>
      <c r="Y168" s="472"/>
      <c r="Z168" s="472"/>
      <c r="AA168" s="472"/>
      <c r="AB168" s="472"/>
      <c r="AC168" s="472"/>
      <c r="AD168" s="472"/>
      <c r="AE168" s="472"/>
      <c r="AF168" s="472"/>
      <c r="AG168" s="472"/>
      <c r="AH168" s="472"/>
    </row>
    <row r="169" spans="1:41" s="53" customFormat="1" x14ac:dyDescent="0.25">
      <c r="A169" s="532"/>
      <c r="B169" s="532"/>
      <c r="C169" s="532"/>
      <c r="D169" s="532"/>
      <c r="E169" s="532"/>
      <c r="F169" s="532"/>
      <c r="G169" s="532"/>
      <c r="H169" s="532"/>
      <c r="I169" s="533"/>
      <c r="J169" s="533"/>
      <c r="K169" s="533"/>
      <c r="L169" s="533"/>
      <c r="M169" s="533"/>
      <c r="N169" s="533"/>
      <c r="O169" s="533"/>
      <c r="P169" s="472"/>
      <c r="Q169" s="472"/>
      <c r="R169" s="472"/>
      <c r="S169" s="472"/>
      <c r="T169" s="472"/>
      <c r="U169" s="472"/>
      <c r="V169" s="472"/>
      <c r="W169" s="472"/>
      <c r="X169" s="472"/>
      <c r="Y169" s="472"/>
      <c r="Z169" s="472"/>
      <c r="AA169" s="472"/>
      <c r="AB169" s="472"/>
      <c r="AC169" s="472"/>
      <c r="AD169" s="472"/>
      <c r="AE169" s="472"/>
      <c r="AF169" s="472"/>
      <c r="AG169" s="472"/>
      <c r="AH169" s="472"/>
    </row>
    <row r="170" spans="1:41" s="53" customFormat="1" x14ac:dyDescent="0.25">
      <c r="A170" s="532"/>
      <c r="B170" s="532"/>
      <c r="C170" s="532"/>
      <c r="D170" s="532"/>
      <c r="E170" s="532"/>
      <c r="F170" s="532"/>
      <c r="G170" s="532"/>
      <c r="H170" s="532"/>
      <c r="I170" s="533"/>
      <c r="J170" s="533"/>
      <c r="K170" s="533"/>
      <c r="L170" s="533"/>
      <c r="M170" s="533"/>
      <c r="N170" s="533"/>
      <c r="O170" s="533"/>
      <c r="P170" s="472"/>
      <c r="Q170" s="472"/>
      <c r="R170" s="472"/>
      <c r="S170" s="472"/>
      <c r="T170" s="472"/>
      <c r="U170" s="472"/>
      <c r="V170" s="472"/>
      <c r="W170" s="472"/>
      <c r="X170" s="472"/>
      <c r="Y170" s="472"/>
      <c r="Z170" s="472"/>
      <c r="AA170" s="472"/>
      <c r="AB170" s="472"/>
      <c r="AC170" s="472"/>
      <c r="AD170" s="472"/>
      <c r="AE170" s="472"/>
      <c r="AF170" s="472"/>
      <c r="AG170" s="472"/>
      <c r="AH170" s="472"/>
    </row>
    <row r="171" spans="1:41" s="53" customFormat="1" x14ac:dyDescent="0.25">
      <c r="A171" s="532"/>
      <c r="B171" s="532"/>
      <c r="C171" s="532"/>
      <c r="D171" s="532"/>
      <c r="E171" s="532"/>
      <c r="F171" s="532"/>
      <c r="G171" s="532"/>
      <c r="H171" s="532"/>
      <c r="I171" s="533"/>
      <c r="J171" s="533"/>
      <c r="K171" s="533"/>
      <c r="L171" s="533"/>
      <c r="M171" s="533"/>
      <c r="N171" s="533"/>
      <c r="O171" s="533"/>
      <c r="P171" s="472"/>
      <c r="Q171" s="472"/>
      <c r="R171" s="472"/>
      <c r="S171" s="472"/>
      <c r="T171" s="472"/>
      <c r="U171" s="472"/>
      <c r="V171" s="472"/>
      <c r="W171" s="472"/>
      <c r="X171" s="472"/>
      <c r="Y171" s="472"/>
      <c r="Z171" s="472"/>
      <c r="AA171" s="472"/>
      <c r="AB171" s="472"/>
      <c r="AC171" s="472"/>
      <c r="AD171" s="472"/>
      <c r="AE171" s="472"/>
      <c r="AF171" s="472"/>
      <c r="AG171" s="472"/>
      <c r="AH171" s="472"/>
    </row>
    <row r="172" spans="1:41" s="53" customFormat="1" x14ac:dyDescent="0.25">
      <c r="A172" s="532"/>
      <c r="B172" s="532"/>
      <c r="C172" s="532"/>
      <c r="D172" s="532"/>
      <c r="E172" s="532"/>
      <c r="F172" s="532"/>
      <c r="G172" s="532"/>
      <c r="H172" s="532"/>
      <c r="I172" s="533"/>
      <c r="J172" s="533"/>
      <c r="K172" s="533"/>
      <c r="L172" s="533"/>
      <c r="M172" s="533"/>
      <c r="N172" s="533"/>
      <c r="O172" s="533"/>
      <c r="P172" s="472"/>
      <c r="Q172" s="472"/>
      <c r="R172" s="472"/>
      <c r="S172" s="472"/>
      <c r="T172" s="472"/>
      <c r="U172" s="472"/>
      <c r="V172" s="472"/>
      <c r="W172" s="472"/>
      <c r="X172" s="472"/>
      <c r="Y172" s="472"/>
      <c r="Z172" s="472"/>
      <c r="AA172" s="472"/>
      <c r="AB172" s="472"/>
      <c r="AC172" s="472"/>
      <c r="AD172" s="472"/>
      <c r="AE172" s="472"/>
      <c r="AF172" s="472"/>
      <c r="AG172" s="472"/>
      <c r="AH172" s="472"/>
    </row>
    <row r="173" spans="1:41" s="53" customFormat="1" x14ac:dyDescent="0.25">
      <c r="A173" s="532"/>
      <c r="B173" s="532"/>
      <c r="C173" s="532"/>
      <c r="D173" s="532"/>
      <c r="E173" s="532"/>
      <c r="F173" s="532"/>
      <c r="G173" s="532"/>
      <c r="H173" s="532"/>
      <c r="I173" s="533"/>
      <c r="J173" s="533"/>
      <c r="K173" s="533"/>
      <c r="L173" s="533"/>
      <c r="M173" s="533"/>
      <c r="N173" s="533"/>
      <c r="O173" s="533"/>
      <c r="P173" s="472"/>
      <c r="Q173" s="472"/>
      <c r="R173" s="472"/>
      <c r="S173" s="472"/>
      <c r="T173" s="472"/>
      <c r="U173" s="472"/>
      <c r="V173" s="472"/>
      <c r="W173" s="472"/>
      <c r="X173" s="472"/>
      <c r="Y173" s="472"/>
      <c r="Z173" s="472"/>
      <c r="AA173" s="472"/>
      <c r="AB173" s="472"/>
      <c r="AC173" s="472"/>
      <c r="AD173" s="472"/>
      <c r="AE173" s="472"/>
      <c r="AF173" s="472"/>
      <c r="AG173" s="472"/>
      <c r="AH173" s="472"/>
    </row>
    <row r="174" spans="1:41" s="53" customFormat="1" ht="15" customHeight="1" x14ac:dyDescent="0.25">
      <c r="A174" s="456" t="s">
        <v>283</v>
      </c>
      <c r="B174" s="456"/>
      <c r="C174" s="456"/>
      <c r="D174" s="456"/>
      <c r="E174" s="456"/>
      <c r="F174" s="456"/>
      <c r="G174" s="456"/>
      <c r="H174" s="456"/>
      <c r="I174" s="456"/>
      <c r="J174" s="456"/>
      <c r="K174" s="456"/>
      <c r="L174" s="456"/>
      <c r="M174" s="456"/>
      <c r="N174" s="456"/>
      <c r="O174" s="456"/>
      <c r="P174" s="456"/>
      <c r="Q174" s="456"/>
      <c r="R174" s="456"/>
      <c r="S174" s="456"/>
      <c r="T174" s="456"/>
      <c r="U174" s="456"/>
      <c r="V174" s="456"/>
      <c r="W174" s="456"/>
      <c r="X174" s="456"/>
      <c r="Y174" s="456"/>
      <c r="Z174" s="456"/>
      <c r="AA174" s="456"/>
      <c r="AB174" s="456"/>
      <c r="AC174" s="456"/>
      <c r="AD174" s="456"/>
      <c r="AE174" s="456"/>
      <c r="AF174" s="456"/>
      <c r="AG174" s="456"/>
      <c r="AH174" s="456"/>
    </row>
    <row r="175" spans="1:41" x14ac:dyDescent="0.25">
      <c r="A175" s="457"/>
      <c r="B175" s="457"/>
      <c r="C175" s="457"/>
      <c r="D175" s="457"/>
      <c r="E175" s="457"/>
      <c r="F175" s="457"/>
      <c r="G175" s="457"/>
      <c r="H175" s="457"/>
      <c r="I175" s="457"/>
      <c r="J175" s="457"/>
      <c r="K175" s="457"/>
      <c r="L175" s="457"/>
      <c r="M175" s="457"/>
      <c r="N175" s="457"/>
      <c r="O175" s="457"/>
      <c r="P175" s="457"/>
      <c r="Q175" s="457"/>
      <c r="R175" s="457"/>
      <c r="S175" s="457"/>
      <c r="T175" s="457"/>
      <c r="U175" s="457"/>
      <c r="V175" s="457"/>
      <c r="W175" s="457"/>
      <c r="X175" s="457"/>
      <c r="Y175" s="457"/>
      <c r="Z175" s="457"/>
      <c r="AA175" s="457"/>
      <c r="AB175" s="457"/>
      <c r="AC175" s="457"/>
      <c r="AD175" s="457"/>
      <c r="AE175" s="457"/>
      <c r="AF175" s="457"/>
      <c r="AG175" s="457"/>
      <c r="AH175" s="457"/>
      <c r="AO175" s="53"/>
    </row>
    <row r="176" spans="1:41" s="53" customFormat="1" ht="3" customHeight="1" x14ac:dyDescent="0.25">
      <c r="A176" s="97"/>
      <c r="B176" s="97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O176"/>
    </row>
    <row r="177" spans="1:70" s="53" customFormat="1" ht="3" customHeight="1" thickBot="1" x14ac:dyDescent="0.3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</row>
    <row r="178" spans="1:70" ht="15.75" customHeight="1" thickTop="1" thickBot="1" x14ac:dyDescent="0.3">
      <c r="A178" s="383" t="s">
        <v>222</v>
      </c>
      <c r="B178" s="383"/>
      <c r="C178" s="383"/>
      <c r="D178" s="383"/>
      <c r="E178" s="383"/>
      <c r="F178" s="383"/>
      <c r="G178" s="383"/>
      <c r="H178" s="383"/>
      <c r="I178" s="383"/>
      <c r="J178" s="383"/>
      <c r="K178" s="383"/>
      <c r="L178" s="383"/>
      <c r="M178" s="383"/>
      <c r="N178" s="383"/>
      <c r="O178" s="383"/>
      <c r="P178" s="383"/>
      <c r="Q178" s="383"/>
      <c r="R178" s="383"/>
      <c r="S178" s="383"/>
      <c r="T178" s="383"/>
      <c r="U178" s="383"/>
      <c r="V178" s="383"/>
      <c r="W178" s="383"/>
      <c r="X178" s="383"/>
      <c r="Y178" s="383"/>
      <c r="Z178" s="383"/>
      <c r="AA178" s="383"/>
      <c r="AB178" s="383"/>
      <c r="AC178" s="383"/>
      <c r="AD178" s="383"/>
      <c r="AE178" s="383"/>
      <c r="AF178" s="383"/>
      <c r="AG178" s="383"/>
      <c r="AH178" s="383"/>
      <c r="AO178" s="53"/>
    </row>
    <row r="179" spans="1:70" ht="3" customHeight="1" thickTop="1" x14ac:dyDescent="0.25">
      <c r="A179" s="96"/>
      <c r="B179" s="96"/>
      <c r="C179" s="96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</row>
    <row r="180" spans="1:70" ht="14.65" customHeight="1" x14ac:dyDescent="0.25">
      <c r="A180" s="2"/>
      <c r="B180" s="2"/>
      <c r="C180" s="2"/>
      <c r="D180" s="2"/>
      <c r="E180" s="2"/>
      <c r="F180" s="288" t="s">
        <v>206</v>
      </c>
      <c r="G180" s="288"/>
      <c r="H180" s="288"/>
      <c r="I180" s="288"/>
      <c r="J180" s="288"/>
      <c r="K180" s="288"/>
      <c r="L180" s="288"/>
      <c r="M180" s="288"/>
      <c r="N180" s="288"/>
      <c r="O180" s="6"/>
      <c r="P180" s="288" t="s">
        <v>207</v>
      </c>
      <c r="Q180" s="288"/>
      <c r="R180" s="288"/>
      <c r="S180" s="288"/>
      <c r="T180" s="288"/>
      <c r="U180" s="15"/>
      <c r="V180" s="94" t="s">
        <v>8</v>
      </c>
      <c r="W180" s="19"/>
      <c r="X180" s="19"/>
      <c r="Y180" s="2"/>
      <c r="AA180" s="24"/>
      <c r="AB180" s="24"/>
      <c r="AC180" s="24"/>
      <c r="AD180" s="24"/>
      <c r="AE180" s="24"/>
      <c r="AF180" s="24"/>
      <c r="AG180" s="24"/>
      <c r="AH180" s="25"/>
    </row>
    <row r="181" spans="1:70" x14ac:dyDescent="0.25">
      <c r="F181" s="462"/>
      <c r="G181" s="462"/>
      <c r="H181" s="462"/>
      <c r="I181" s="462"/>
      <c r="J181" s="462"/>
      <c r="K181" s="462"/>
      <c r="L181" s="462"/>
      <c r="M181" s="462"/>
      <c r="N181" s="462"/>
      <c r="O181" s="7"/>
      <c r="P181" s="462"/>
      <c r="Q181" s="462"/>
      <c r="R181" s="462"/>
      <c r="S181" s="462"/>
      <c r="T181" s="462"/>
      <c r="U181" s="17"/>
      <c r="V181" s="509"/>
      <c r="W181" s="510"/>
      <c r="X181" s="510"/>
      <c r="Y181" s="510"/>
      <c r="Z181" s="510"/>
      <c r="AA181" s="510"/>
      <c r="AB181" s="510"/>
      <c r="AC181" s="510"/>
      <c r="AD181" s="510"/>
      <c r="AE181" s="510"/>
      <c r="AF181" s="510"/>
      <c r="AG181" s="510"/>
      <c r="AH181" s="511"/>
    </row>
    <row r="182" spans="1:70" ht="70.5" customHeight="1" x14ac:dyDescent="0.25">
      <c r="A182" s="410" t="s">
        <v>6</v>
      </c>
      <c r="B182" s="410"/>
      <c r="C182" s="410"/>
      <c r="D182" s="410"/>
      <c r="E182" s="411"/>
      <c r="F182" s="585">
        <v>1</v>
      </c>
      <c r="G182" s="586"/>
      <c r="H182" s="586"/>
      <c r="I182" s="586"/>
      <c r="J182" s="586"/>
      <c r="K182" s="586"/>
      <c r="L182" s="586"/>
      <c r="M182" s="586"/>
      <c r="N182" s="587"/>
      <c r="O182" s="12"/>
      <c r="P182" s="588">
        <v>1</v>
      </c>
      <c r="Q182" s="589"/>
      <c r="R182" s="589"/>
      <c r="S182" s="589"/>
      <c r="T182" s="590"/>
      <c r="U182" s="20"/>
      <c r="V182" s="512"/>
      <c r="W182" s="513"/>
      <c r="X182" s="513"/>
      <c r="Y182" s="513"/>
      <c r="Z182" s="513"/>
      <c r="AA182" s="513"/>
      <c r="AB182" s="513"/>
      <c r="AC182" s="513"/>
      <c r="AD182" s="513"/>
      <c r="AE182" s="513"/>
      <c r="AF182" s="513"/>
      <c r="AG182" s="513"/>
      <c r="AH182" s="514"/>
    </row>
    <row r="183" spans="1:70" ht="7.15" customHeight="1" x14ac:dyDescent="0.25">
      <c r="F183" s="121"/>
      <c r="G183" s="121"/>
      <c r="H183" s="121"/>
      <c r="I183" s="121"/>
      <c r="J183" s="121"/>
      <c r="K183" s="121"/>
      <c r="L183" s="121"/>
      <c r="M183" s="121"/>
      <c r="N183" s="121"/>
      <c r="O183" s="5"/>
      <c r="P183" s="16"/>
      <c r="Q183" s="16"/>
      <c r="R183" s="16"/>
      <c r="S183" s="16"/>
      <c r="T183" s="16"/>
      <c r="U183" s="16"/>
      <c r="V183" s="512"/>
      <c r="W183" s="513"/>
      <c r="X183" s="513"/>
      <c r="Y183" s="513"/>
      <c r="Z183" s="513"/>
      <c r="AA183" s="513"/>
      <c r="AB183" s="513"/>
      <c r="AC183" s="513"/>
      <c r="AD183" s="513"/>
      <c r="AE183" s="513"/>
      <c r="AF183" s="513"/>
      <c r="AG183" s="513"/>
      <c r="AH183" s="514"/>
    </row>
    <row r="184" spans="1:70" ht="70.5" customHeight="1" x14ac:dyDescent="0.25">
      <c r="A184" s="546" t="s">
        <v>5</v>
      </c>
      <c r="B184" s="546"/>
      <c r="C184" s="546"/>
      <c r="D184" s="546"/>
      <c r="E184" s="547"/>
      <c r="F184" s="466">
        <v>1</v>
      </c>
      <c r="G184" s="467"/>
      <c r="H184" s="467"/>
      <c r="I184" s="467"/>
      <c r="J184" s="467"/>
      <c r="K184" s="467"/>
      <c r="L184" s="467"/>
      <c r="M184" s="467"/>
      <c r="N184" s="468"/>
      <c r="O184" s="14"/>
      <c r="P184" s="459">
        <v>1</v>
      </c>
      <c r="Q184" s="460"/>
      <c r="R184" s="460"/>
      <c r="S184" s="460"/>
      <c r="T184" s="461"/>
      <c r="U184" s="23"/>
      <c r="V184" s="515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7"/>
    </row>
    <row r="185" spans="1:70" ht="5.25" customHeight="1" x14ac:dyDescent="0.25"/>
    <row r="186" spans="1:70" ht="14.25" customHeight="1" x14ac:dyDescent="0.25">
      <c r="A186" s="103" t="s">
        <v>7</v>
      </c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99"/>
      <c r="M186" s="99"/>
      <c r="N186" s="99"/>
      <c r="O186" s="99"/>
      <c r="P186" s="99"/>
      <c r="Q186" s="99"/>
      <c r="R186" s="99"/>
      <c r="S186" s="99"/>
      <c r="T186" s="35"/>
      <c r="U186" s="36"/>
      <c r="V186" s="36"/>
      <c r="W186" s="36"/>
      <c r="X186" s="36"/>
      <c r="Y186" s="36"/>
      <c r="Z186" s="36"/>
      <c r="AA186" s="36"/>
      <c r="AB186" s="36"/>
      <c r="AC186" s="35"/>
      <c r="AD186" s="35"/>
      <c r="AE186" s="35"/>
      <c r="AF186" s="35"/>
      <c r="AG186" s="35"/>
      <c r="AH186" s="35"/>
    </row>
    <row r="187" spans="1:70" ht="14.25" customHeight="1" x14ac:dyDescent="0.25">
      <c r="A187" s="569"/>
      <c r="B187" s="570"/>
      <c r="C187" s="570"/>
      <c r="D187" s="570"/>
      <c r="E187" s="570"/>
      <c r="F187" s="570"/>
      <c r="G187" s="570"/>
      <c r="H187" s="570"/>
      <c r="I187" s="570"/>
      <c r="J187" s="570"/>
      <c r="K187" s="570"/>
      <c r="L187" s="570"/>
      <c r="M187" s="570"/>
      <c r="N187" s="570"/>
      <c r="O187" s="570"/>
      <c r="P187" s="570"/>
      <c r="Q187" s="570"/>
      <c r="R187" s="570"/>
      <c r="S187" s="570"/>
      <c r="T187" s="570"/>
      <c r="U187" s="570"/>
      <c r="V187" s="570"/>
      <c r="W187" s="570"/>
      <c r="X187" s="570"/>
      <c r="Y187" s="570"/>
      <c r="Z187" s="570"/>
      <c r="AA187" s="570"/>
      <c r="AB187" s="570"/>
      <c r="AC187" s="570"/>
      <c r="AD187" s="570"/>
      <c r="AE187" s="570"/>
      <c r="AF187" s="570"/>
      <c r="AG187" s="570"/>
      <c r="AH187" s="571"/>
    </row>
    <row r="188" spans="1:70" ht="14.25" customHeight="1" x14ac:dyDescent="0.25">
      <c r="A188" s="572"/>
      <c r="B188" s="573"/>
      <c r="C188" s="573"/>
      <c r="D188" s="573"/>
      <c r="E188" s="573"/>
      <c r="F188" s="573"/>
      <c r="G188" s="573"/>
      <c r="H188" s="573"/>
      <c r="I188" s="573"/>
      <c r="J188" s="573"/>
      <c r="K188" s="573"/>
      <c r="L188" s="573"/>
      <c r="M188" s="573"/>
      <c r="N188" s="573"/>
      <c r="O188" s="573"/>
      <c r="P188" s="573"/>
      <c r="Q188" s="573"/>
      <c r="R188" s="573"/>
      <c r="S188" s="573"/>
      <c r="T188" s="573"/>
      <c r="U188" s="573"/>
      <c r="V188" s="573"/>
      <c r="W188" s="573"/>
      <c r="X188" s="573"/>
      <c r="Y188" s="573"/>
      <c r="Z188" s="573"/>
      <c r="AA188" s="573"/>
      <c r="AB188" s="573"/>
      <c r="AC188" s="573"/>
      <c r="AD188" s="573"/>
      <c r="AE188" s="573"/>
      <c r="AF188" s="573"/>
      <c r="AG188" s="573"/>
      <c r="AH188" s="574"/>
    </row>
    <row r="189" spans="1:70" ht="14.25" customHeight="1" x14ac:dyDescent="0.25">
      <c r="A189" s="572"/>
      <c r="B189" s="573"/>
      <c r="C189" s="573"/>
      <c r="D189" s="573"/>
      <c r="E189" s="573"/>
      <c r="F189" s="573"/>
      <c r="G189" s="573"/>
      <c r="H189" s="573"/>
      <c r="I189" s="573"/>
      <c r="J189" s="573"/>
      <c r="K189" s="573"/>
      <c r="L189" s="573"/>
      <c r="M189" s="573"/>
      <c r="N189" s="573"/>
      <c r="O189" s="573"/>
      <c r="P189" s="573"/>
      <c r="Q189" s="573"/>
      <c r="R189" s="573"/>
      <c r="S189" s="573"/>
      <c r="T189" s="573"/>
      <c r="U189" s="573"/>
      <c r="V189" s="573"/>
      <c r="W189" s="573"/>
      <c r="X189" s="573"/>
      <c r="Y189" s="573"/>
      <c r="Z189" s="573"/>
      <c r="AA189" s="573"/>
      <c r="AB189" s="573"/>
      <c r="AC189" s="573"/>
      <c r="AD189" s="573"/>
      <c r="AE189" s="573"/>
      <c r="AF189" s="573"/>
      <c r="AG189" s="573"/>
      <c r="AH189" s="574"/>
      <c r="AK189" s="53"/>
      <c r="AL189" s="53"/>
      <c r="AM189" s="53"/>
      <c r="AN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53"/>
      <c r="BP189" s="53"/>
      <c r="BQ189" s="53"/>
      <c r="BR189" s="53"/>
    </row>
    <row r="190" spans="1:70" ht="14.25" customHeight="1" x14ac:dyDescent="0.25">
      <c r="A190" s="575"/>
      <c r="B190" s="576"/>
      <c r="C190" s="576"/>
      <c r="D190" s="576"/>
      <c r="E190" s="576"/>
      <c r="F190" s="576"/>
      <c r="G190" s="576"/>
      <c r="H190" s="576"/>
      <c r="I190" s="576"/>
      <c r="J190" s="576"/>
      <c r="K190" s="576"/>
      <c r="L190" s="576"/>
      <c r="M190" s="576"/>
      <c r="N190" s="576"/>
      <c r="O190" s="576"/>
      <c r="P190" s="576"/>
      <c r="Q190" s="576"/>
      <c r="R190" s="576"/>
      <c r="S190" s="576"/>
      <c r="T190" s="576"/>
      <c r="U190" s="576"/>
      <c r="V190" s="576"/>
      <c r="W190" s="576"/>
      <c r="X190" s="576"/>
      <c r="Y190" s="576"/>
      <c r="Z190" s="576"/>
      <c r="AA190" s="576"/>
      <c r="AB190" s="576"/>
      <c r="AC190" s="576"/>
      <c r="AD190" s="576"/>
      <c r="AE190" s="576"/>
      <c r="AF190" s="576"/>
      <c r="AG190" s="576"/>
      <c r="AH190" s="577"/>
      <c r="AO190" s="53"/>
    </row>
    <row r="191" spans="1:70" ht="6" customHeight="1" x14ac:dyDescent="0.25">
      <c r="B191" s="9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T191" s="2"/>
      <c r="U191" s="2"/>
      <c r="V191" s="2"/>
      <c r="W191" s="2"/>
      <c r="X191" s="2"/>
      <c r="Y191" s="2"/>
    </row>
    <row r="192" spans="1:70" ht="14.25" customHeight="1" x14ac:dyDescent="0.25">
      <c r="A192" s="68" t="s">
        <v>13</v>
      </c>
      <c r="Y192" s="2"/>
    </row>
    <row r="193" spans="1:70" ht="14.25" customHeight="1" x14ac:dyDescent="0.25">
      <c r="A193" s="534"/>
      <c r="B193" s="535"/>
      <c r="C193" s="535"/>
      <c r="D193" s="535"/>
      <c r="E193" s="535"/>
      <c r="F193" s="535"/>
      <c r="G193" s="535"/>
      <c r="H193" s="535"/>
      <c r="I193" s="535"/>
      <c r="J193" s="535"/>
      <c r="K193" s="535"/>
      <c r="L193" s="535"/>
      <c r="M193" s="535"/>
      <c r="N193" s="535"/>
      <c r="O193" s="535"/>
      <c r="P193" s="535"/>
      <c r="Q193" s="535"/>
      <c r="R193" s="535"/>
      <c r="S193" s="535"/>
      <c r="T193" s="535"/>
      <c r="U193" s="535"/>
      <c r="V193" s="535"/>
      <c r="W193" s="535"/>
      <c r="X193" s="535"/>
      <c r="Y193" s="535"/>
      <c r="Z193" s="535"/>
      <c r="AA193" s="535"/>
      <c r="AB193" s="535"/>
      <c r="AC193" s="535"/>
      <c r="AD193" s="535"/>
      <c r="AE193" s="535"/>
      <c r="AF193" s="535"/>
      <c r="AG193" s="535"/>
      <c r="AH193" s="536"/>
      <c r="AK193" s="53"/>
      <c r="AL193" s="53"/>
      <c r="AM193" s="53"/>
      <c r="AN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53"/>
      <c r="BP193" s="53"/>
      <c r="BQ193" s="53"/>
      <c r="BR193" s="53"/>
    </row>
    <row r="194" spans="1:70" ht="14.25" customHeight="1" x14ac:dyDescent="0.25">
      <c r="A194" s="578"/>
      <c r="B194" s="579"/>
      <c r="C194" s="579"/>
      <c r="D194" s="579"/>
      <c r="E194" s="579"/>
      <c r="F194" s="579"/>
      <c r="G194" s="579"/>
      <c r="H194" s="579"/>
      <c r="I194" s="579"/>
      <c r="J194" s="579"/>
      <c r="K194" s="579"/>
      <c r="L194" s="579"/>
      <c r="M194" s="579"/>
      <c r="N194" s="579"/>
      <c r="O194" s="579"/>
      <c r="P194" s="579"/>
      <c r="Q194" s="579"/>
      <c r="R194" s="579"/>
      <c r="S194" s="579"/>
      <c r="T194" s="579"/>
      <c r="U194" s="579"/>
      <c r="V194" s="579"/>
      <c r="W194" s="579"/>
      <c r="X194" s="579"/>
      <c r="Y194" s="579"/>
      <c r="Z194" s="579"/>
      <c r="AA194" s="579"/>
      <c r="AB194" s="579"/>
      <c r="AC194" s="579"/>
      <c r="AD194" s="579"/>
      <c r="AE194" s="579"/>
      <c r="AF194" s="579"/>
      <c r="AG194" s="579"/>
      <c r="AH194" s="580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</row>
    <row r="195" spans="1:70" ht="14.25" customHeight="1" x14ac:dyDescent="0.25">
      <c r="A195" s="537"/>
      <c r="B195" s="538"/>
      <c r="C195" s="538"/>
      <c r="D195" s="538"/>
      <c r="E195" s="538"/>
      <c r="F195" s="538"/>
      <c r="G195" s="538"/>
      <c r="H195" s="538"/>
      <c r="I195" s="538"/>
      <c r="J195" s="538"/>
      <c r="K195" s="538"/>
      <c r="L195" s="538"/>
      <c r="M195" s="538"/>
      <c r="N195" s="538"/>
      <c r="O195" s="538"/>
      <c r="P195" s="538"/>
      <c r="Q195" s="538"/>
      <c r="R195" s="538"/>
      <c r="S195" s="538"/>
      <c r="T195" s="538"/>
      <c r="U195" s="538"/>
      <c r="V195" s="538"/>
      <c r="W195" s="538"/>
      <c r="X195" s="538"/>
      <c r="Y195" s="538"/>
      <c r="Z195" s="538"/>
      <c r="AA195" s="538"/>
      <c r="AB195" s="538"/>
      <c r="AC195" s="538"/>
      <c r="AD195" s="538"/>
      <c r="AE195" s="538"/>
      <c r="AF195" s="538"/>
      <c r="AG195" s="538"/>
      <c r="AH195" s="539"/>
      <c r="AO195" s="53"/>
    </row>
    <row r="196" spans="1:70" s="112" customFormat="1" ht="6" customHeight="1" x14ac:dyDescent="0.25">
      <c r="AO196"/>
    </row>
    <row r="197" spans="1:70" s="112" customFormat="1" ht="14.25" customHeight="1" x14ac:dyDescent="0.25">
      <c r="A197" s="113" t="s">
        <v>194</v>
      </c>
      <c r="X197" s="113" t="s">
        <v>195</v>
      </c>
    </row>
    <row r="198" spans="1:70" ht="14.25" customHeight="1" x14ac:dyDescent="0.25">
      <c r="A198" s="447"/>
      <c r="B198" s="448"/>
      <c r="C198" s="448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8"/>
      <c r="R198" s="448"/>
      <c r="S198" s="448"/>
      <c r="T198" s="448"/>
      <c r="U198" s="448"/>
      <c r="V198" s="449"/>
      <c r="X198" s="236"/>
      <c r="Y198" s="237"/>
      <c r="Z198" s="237"/>
      <c r="AA198" s="237"/>
      <c r="AB198" s="237"/>
      <c r="AC198" s="237"/>
      <c r="AD198" s="237"/>
      <c r="AE198" s="237"/>
      <c r="AF198" s="237"/>
      <c r="AG198" s="237"/>
      <c r="AH198" s="238"/>
      <c r="AO198" s="112"/>
    </row>
    <row r="199" spans="1:70" ht="14.25" customHeight="1" x14ac:dyDescent="0.25">
      <c r="A199" s="450"/>
      <c r="B199" s="451"/>
      <c r="C199" s="451"/>
      <c r="D199" s="451"/>
      <c r="E199" s="451"/>
      <c r="F199" s="451"/>
      <c r="G199" s="451"/>
      <c r="H199" s="451"/>
      <c r="I199" s="451"/>
      <c r="J199" s="451"/>
      <c r="K199" s="451"/>
      <c r="L199" s="451"/>
      <c r="M199" s="451"/>
      <c r="N199" s="451"/>
      <c r="O199" s="451"/>
      <c r="P199" s="451"/>
      <c r="Q199" s="451"/>
      <c r="R199" s="451"/>
      <c r="S199" s="451"/>
      <c r="T199" s="451"/>
      <c r="U199" s="451"/>
      <c r="V199" s="452"/>
      <c r="X199" s="239"/>
      <c r="Y199" s="240"/>
      <c r="Z199" s="240"/>
      <c r="AA199" s="240"/>
      <c r="AB199" s="240"/>
      <c r="AC199" s="240"/>
      <c r="AD199" s="240"/>
      <c r="AE199" s="240"/>
      <c r="AF199" s="240"/>
      <c r="AG199" s="240"/>
      <c r="AH199" s="241"/>
    </row>
    <row r="200" spans="1:70" ht="14.25" customHeight="1" x14ac:dyDescent="0.25">
      <c r="A200" s="453"/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5"/>
      <c r="X200" s="463"/>
      <c r="Y200" s="464"/>
      <c r="Z200" s="464"/>
      <c r="AA200" s="464"/>
      <c r="AB200" s="464"/>
      <c r="AC200" s="464"/>
      <c r="AD200" s="464"/>
      <c r="AE200" s="464"/>
      <c r="AF200" s="464"/>
      <c r="AG200" s="464"/>
      <c r="AH200" s="465"/>
    </row>
    <row r="201" spans="1:70" ht="14.25" customHeight="1" x14ac:dyDescent="0.25">
      <c r="AE201" s="425" t="s">
        <v>199</v>
      </c>
      <c r="AF201" s="425"/>
      <c r="AG201" s="425"/>
      <c r="AH201" s="425"/>
    </row>
    <row r="202" spans="1:70" ht="14.25" customHeight="1" x14ac:dyDescent="0.25">
      <c r="A202" s="68" t="s">
        <v>54</v>
      </c>
      <c r="G202" s="534"/>
      <c r="H202" s="535"/>
      <c r="I202" s="535"/>
      <c r="J202" s="535"/>
      <c r="K202" s="535"/>
      <c r="L202" s="535"/>
      <c r="M202" s="535"/>
      <c r="N202" s="535"/>
      <c r="O202" s="535"/>
      <c r="P202" s="535"/>
      <c r="Q202" s="535"/>
      <c r="R202" s="535"/>
      <c r="S202" s="535"/>
      <c r="T202" s="535"/>
      <c r="U202" s="535"/>
      <c r="V202" s="535"/>
      <c r="W202" s="535"/>
      <c r="X202" s="535"/>
      <c r="Y202" s="535"/>
      <c r="Z202" s="535"/>
      <c r="AA202" s="535"/>
      <c r="AB202" s="535"/>
      <c r="AC202" s="536"/>
      <c r="AD202" s="59"/>
      <c r="AE202" s="426"/>
      <c r="AF202" s="426"/>
      <c r="AG202" s="426"/>
      <c r="AH202" s="426"/>
    </row>
    <row r="203" spans="1:70" ht="14.25" customHeight="1" x14ac:dyDescent="0.25">
      <c r="G203" s="537"/>
      <c r="H203" s="538"/>
      <c r="I203" s="538"/>
      <c r="J203" s="538"/>
      <c r="K203" s="538"/>
      <c r="L203" s="538"/>
      <c r="M203" s="538"/>
      <c r="N203" s="538"/>
      <c r="O203" s="538"/>
      <c r="P203" s="538"/>
      <c r="Q203" s="538"/>
      <c r="R203" s="538"/>
      <c r="S203" s="538"/>
      <c r="T203" s="538"/>
      <c r="U203" s="538"/>
      <c r="V203" s="538"/>
      <c r="W203" s="538"/>
      <c r="X203" s="538"/>
      <c r="Y203" s="538"/>
      <c r="Z203" s="538"/>
      <c r="AA203" s="538"/>
      <c r="AB203" s="538"/>
      <c r="AC203" s="539"/>
      <c r="AD203" s="59"/>
      <c r="AE203" s="426"/>
      <c r="AF203" s="426"/>
      <c r="AG203" s="426"/>
      <c r="AH203" s="426"/>
    </row>
    <row r="204" spans="1:70" ht="14.25" customHeight="1" x14ac:dyDescent="0.25">
      <c r="AE204" s="591"/>
      <c r="AF204" s="592"/>
      <c r="AG204" s="592"/>
      <c r="AH204" s="593"/>
    </row>
    <row r="205" spans="1:70" s="53" customFormat="1" ht="8.25" customHeight="1" thickBot="1" x14ac:dyDescent="0.3">
      <c r="A205" s="116"/>
      <c r="B205" s="116"/>
      <c r="C205" s="116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O205"/>
    </row>
    <row r="206" spans="1:70" ht="16.5" thickTop="1" thickBot="1" x14ac:dyDescent="0.3">
      <c r="A206" s="383" t="s">
        <v>223</v>
      </c>
      <c r="B206" s="383"/>
      <c r="C206" s="383"/>
      <c r="D206" s="383"/>
      <c r="E206" s="383"/>
      <c r="F206" s="383"/>
      <c r="G206" s="383"/>
      <c r="H206" s="383"/>
      <c r="I206" s="383"/>
      <c r="J206" s="383"/>
      <c r="K206" s="383"/>
      <c r="L206" s="383"/>
      <c r="M206" s="383"/>
      <c r="N206" s="383"/>
      <c r="O206" s="383"/>
      <c r="P206" s="383"/>
      <c r="Q206" s="383"/>
      <c r="R206" s="383"/>
      <c r="S206" s="383"/>
      <c r="T206" s="383"/>
      <c r="U206" s="383"/>
      <c r="V206" s="383"/>
      <c r="W206" s="383"/>
      <c r="X206" s="383"/>
      <c r="Y206" s="383"/>
      <c r="Z206" s="383"/>
      <c r="AA206" s="383"/>
      <c r="AB206" s="383"/>
      <c r="AC206" s="383"/>
      <c r="AD206" s="383"/>
      <c r="AE206" s="383"/>
      <c r="AF206" s="383"/>
      <c r="AG206" s="383"/>
      <c r="AH206" s="383"/>
      <c r="AO206" s="53"/>
    </row>
    <row r="207" spans="1:70" ht="8.25" customHeight="1" thickTop="1" x14ac:dyDescent="0.25"/>
    <row r="208" spans="1:70" x14ac:dyDescent="0.25">
      <c r="A208" s="438" t="s">
        <v>48</v>
      </c>
      <c r="B208" s="438"/>
      <c r="C208" s="438"/>
      <c r="D208" s="438"/>
      <c r="E208" s="438"/>
      <c r="F208" s="438"/>
      <c r="G208" s="424"/>
      <c r="H208" s="423"/>
      <c r="I208" s="423"/>
      <c r="J208" s="423"/>
      <c r="K208" s="423"/>
      <c r="L208" s="423"/>
      <c r="M208" s="423"/>
      <c r="N208" s="423"/>
      <c r="O208" s="437"/>
      <c r="P208" s="291" t="s">
        <v>49</v>
      </c>
      <c r="Q208" s="291"/>
      <c r="R208" s="291"/>
      <c r="S208" s="291"/>
      <c r="T208" s="424"/>
      <c r="U208" s="423"/>
      <c r="V208" s="423"/>
      <c r="W208" s="423"/>
      <c r="X208" s="423"/>
      <c r="Y208" s="423"/>
      <c r="Z208" s="423"/>
      <c r="AA208" s="423"/>
      <c r="AB208" s="437"/>
      <c r="AC208" s="291" t="s">
        <v>2</v>
      </c>
      <c r="AD208" s="291"/>
      <c r="AE208" s="424"/>
      <c r="AF208" s="423"/>
      <c r="AG208" s="423"/>
      <c r="AH208" s="437"/>
    </row>
    <row r="209" spans="1:41" ht="7.15" customHeight="1" x14ac:dyDescent="0.25"/>
    <row r="210" spans="1:41" x14ac:dyDescent="0.25">
      <c r="A210" s="438" t="s">
        <v>50</v>
      </c>
      <c r="B210" s="438"/>
      <c r="C210" s="438"/>
      <c r="D210" s="438"/>
      <c r="E210" s="438"/>
      <c r="F210" s="438"/>
      <c r="G210" s="424"/>
      <c r="H210" s="423"/>
      <c r="I210" s="423"/>
      <c r="J210" s="423"/>
      <c r="K210" s="437"/>
      <c r="M210" s="518" t="s">
        <v>52</v>
      </c>
      <c r="N210" s="518"/>
      <c r="O210" s="518"/>
      <c r="P210" s="518"/>
      <c r="Q210" s="518"/>
      <c r="R210" s="518"/>
      <c r="S210" s="518"/>
      <c r="T210" s="518"/>
      <c r="U210" s="518"/>
      <c r="V210" s="518"/>
      <c r="W210" s="424"/>
      <c r="X210" s="423"/>
      <c r="Y210" s="423"/>
      <c r="Z210" s="423"/>
      <c r="AA210" s="423"/>
      <c r="AB210" s="423"/>
      <c r="AC210" s="423"/>
      <c r="AD210" s="423"/>
      <c r="AE210" s="423"/>
      <c r="AF210" s="423"/>
      <c r="AG210" s="423"/>
      <c r="AH210" s="437"/>
    </row>
    <row r="211" spans="1:41" ht="7.15" customHeight="1" x14ac:dyDescent="0.25"/>
    <row r="212" spans="1:41" x14ac:dyDescent="0.25">
      <c r="A212" s="438" t="s">
        <v>51</v>
      </c>
      <c r="B212" s="438"/>
      <c r="C212" s="438"/>
      <c r="D212" s="438"/>
      <c r="E212" s="438"/>
      <c r="F212" s="438"/>
      <c r="G212" s="424"/>
      <c r="H212" s="423"/>
      <c r="I212" s="423"/>
      <c r="J212" s="423"/>
      <c r="K212" s="423"/>
      <c r="L212" s="423"/>
      <c r="M212" s="423"/>
      <c r="N212" s="423"/>
      <c r="O212" s="423"/>
      <c r="P212" s="423"/>
      <c r="Q212" s="423"/>
      <c r="R212" s="423"/>
      <c r="S212" s="423"/>
      <c r="T212" s="423"/>
      <c r="U212" s="423"/>
      <c r="V212" s="423"/>
      <c r="W212" s="423"/>
      <c r="X212" s="423"/>
      <c r="Y212" s="423"/>
      <c r="Z212" s="423"/>
      <c r="AA212" s="423"/>
      <c r="AB212" s="423"/>
      <c r="AC212" s="423"/>
      <c r="AD212" s="423"/>
      <c r="AE212" s="423"/>
      <c r="AF212" s="423"/>
      <c r="AG212" s="423"/>
      <c r="AH212" s="437"/>
    </row>
    <row r="213" spans="1:41" ht="7.15" customHeight="1" x14ac:dyDescent="0.25"/>
    <row r="214" spans="1:41" ht="14.65" customHeight="1" x14ac:dyDescent="0.25">
      <c r="A214" s="484" t="s">
        <v>55</v>
      </c>
      <c r="B214" s="484"/>
      <c r="C214" s="484"/>
      <c r="D214" s="484"/>
      <c r="E214" s="484"/>
      <c r="F214" s="484"/>
      <c r="G214" s="487"/>
      <c r="H214" s="488"/>
      <c r="I214" s="488"/>
      <c r="J214" s="488"/>
      <c r="K214" s="488"/>
      <c r="L214" s="488"/>
      <c r="M214" s="488"/>
      <c r="N214" s="488"/>
      <c r="O214" s="488"/>
      <c r="P214" s="488"/>
      <c r="Q214" s="488"/>
      <c r="R214" s="488"/>
      <c r="S214" s="488"/>
      <c r="T214" s="488"/>
      <c r="U214" s="488"/>
      <c r="V214" s="488"/>
      <c r="W214" s="488"/>
      <c r="X214" s="488"/>
      <c r="Y214" s="488"/>
      <c r="Z214" s="488"/>
      <c r="AA214" s="488"/>
      <c r="AB214" s="488"/>
      <c r="AC214" s="488"/>
      <c r="AD214" s="488"/>
      <c r="AE214" s="488"/>
      <c r="AF214" s="488"/>
      <c r="AG214" s="488"/>
      <c r="AH214" s="489"/>
    </row>
    <row r="215" spans="1:41" x14ac:dyDescent="0.25">
      <c r="A215" s="484"/>
      <c r="B215" s="484"/>
      <c r="C215" s="484"/>
      <c r="D215" s="484"/>
      <c r="E215" s="484"/>
      <c r="F215" s="484"/>
      <c r="G215" s="490"/>
      <c r="H215" s="491"/>
      <c r="I215" s="491"/>
      <c r="J215" s="491"/>
      <c r="K215" s="491"/>
      <c r="L215" s="491"/>
      <c r="M215" s="491"/>
      <c r="N215" s="491"/>
      <c r="O215" s="491"/>
      <c r="P215" s="491"/>
      <c r="Q215" s="491"/>
      <c r="R215" s="491"/>
      <c r="S215" s="491"/>
      <c r="T215" s="491"/>
      <c r="U215" s="491"/>
      <c r="V215" s="491"/>
      <c r="W215" s="491"/>
      <c r="X215" s="491"/>
      <c r="Y215" s="491"/>
      <c r="Z215" s="491"/>
      <c r="AA215" s="491"/>
      <c r="AB215" s="491"/>
      <c r="AC215" s="491"/>
      <c r="AD215" s="491"/>
      <c r="AE215" s="491"/>
      <c r="AF215" s="491"/>
      <c r="AG215" s="491"/>
      <c r="AH215" s="492"/>
    </row>
    <row r="216" spans="1:41" ht="7.15" customHeight="1" x14ac:dyDescent="0.25"/>
    <row r="217" spans="1:41" x14ac:dyDescent="0.25">
      <c r="A217" t="s">
        <v>53</v>
      </c>
      <c r="M217" s="424"/>
      <c r="N217" s="423"/>
      <c r="O217" s="423"/>
      <c r="P217" s="423"/>
      <c r="Q217" s="423"/>
      <c r="R217" s="423"/>
      <c r="S217" s="423"/>
      <c r="T217" s="423"/>
      <c r="U217" s="423"/>
      <c r="V217" s="423"/>
      <c r="W217" s="423"/>
      <c r="X217" s="423"/>
      <c r="Y217" s="423"/>
      <c r="Z217" s="423"/>
      <c r="AA217" s="423"/>
      <c r="AB217" s="423"/>
      <c r="AC217" s="423"/>
      <c r="AD217" s="423"/>
      <c r="AE217" s="423"/>
      <c r="AF217" s="423"/>
      <c r="AG217" s="423"/>
      <c r="AH217" s="437"/>
    </row>
    <row r="218" spans="1:41" ht="7.15" customHeight="1" x14ac:dyDescent="0.25"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</row>
    <row r="219" spans="1:41" x14ac:dyDescent="0.25">
      <c r="A219" s="486" t="s">
        <v>54</v>
      </c>
      <c r="B219" s="486"/>
      <c r="C219" s="486"/>
      <c r="D219" s="486"/>
      <c r="E219" s="486"/>
      <c r="F219" s="486"/>
      <c r="G219" s="487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8"/>
      <c r="U219" s="488"/>
      <c r="V219" s="488"/>
      <c r="W219" s="488"/>
      <c r="X219" s="488"/>
      <c r="Y219" s="488"/>
      <c r="Z219" s="488"/>
      <c r="AA219" s="488"/>
      <c r="AB219" s="488"/>
      <c r="AC219" s="488"/>
      <c r="AD219" s="488"/>
      <c r="AE219" s="488"/>
      <c r="AF219" s="488"/>
      <c r="AG219" s="488"/>
      <c r="AH219" s="489"/>
    </row>
    <row r="220" spans="1:41" x14ac:dyDescent="0.25">
      <c r="G220" s="490"/>
      <c r="H220" s="491"/>
      <c r="I220" s="491"/>
      <c r="J220" s="491"/>
      <c r="K220" s="491"/>
      <c r="L220" s="491"/>
      <c r="M220" s="491"/>
      <c r="N220" s="491"/>
      <c r="O220" s="491"/>
      <c r="P220" s="491"/>
      <c r="Q220" s="491"/>
      <c r="R220" s="491"/>
      <c r="S220" s="491"/>
      <c r="T220" s="491"/>
      <c r="U220" s="491"/>
      <c r="V220" s="491"/>
      <c r="W220" s="491"/>
      <c r="X220" s="491"/>
      <c r="Y220" s="491"/>
      <c r="Z220" s="491"/>
      <c r="AA220" s="491"/>
      <c r="AB220" s="491"/>
      <c r="AC220" s="491"/>
      <c r="AD220" s="491"/>
      <c r="AE220" s="491"/>
      <c r="AF220" s="491"/>
      <c r="AG220" s="491"/>
      <c r="AH220" s="492"/>
    </row>
    <row r="221" spans="1:41" ht="8.25" customHeight="1" x14ac:dyDescent="0.25"/>
    <row r="222" spans="1:41" s="53" customFormat="1" ht="3" customHeight="1" x14ac:dyDescent="0.25">
      <c r="AO222"/>
    </row>
    <row r="223" spans="1:41" ht="3" customHeight="1" thickBot="1" x14ac:dyDescent="0.3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  <c r="AF223" s="101"/>
      <c r="AG223" s="101"/>
      <c r="AH223" s="101"/>
      <c r="AO223" s="53"/>
    </row>
    <row r="224" spans="1:41" ht="16.5" thickTop="1" thickBot="1" x14ac:dyDescent="0.3">
      <c r="A224" s="383" t="s">
        <v>224</v>
      </c>
      <c r="B224" s="383"/>
      <c r="C224" s="383"/>
      <c r="D224" s="383"/>
      <c r="E224" s="383"/>
      <c r="F224" s="383"/>
      <c r="G224" s="383"/>
      <c r="H224" s="383"/>
      <c r="I224" s="383"/>
      <c r="J224" s="383"/>
      <c r="K224" s="383"/>
      <c r="L224" s="383"/>
      <c r="M224" s="383"/>
      <c r="N224" s="383"/>
      <c r="O224" s="383"/>
      <c r="P224" s="383"/>
      <c r="Q224" s="383"/>
      <c r="R224" s="383"/>
      <c r="S224" s="383"/>
      <c r="T224" s="383"/>
      <c r="U224" s="383"/>
      <c r="V224" s="383"/>
      <c r="W224" s="383"/>
      <c r="X224" s="383"/>
      <c r="Y224" s="383"/>
      <c r="Z224" s="383"/>
      <c r="AA224" s="383"/>
      <c r="AB224" s="383"/>
      <c r="AC224" s="383"/>
      <c r="AD224" s="383"/>
      <c r="AE224" s="383"/>
      <c r="AF224" s="383"/>
      <c r="AG224" s="383"/>
      <c r="AH224" s="383"/>
    </row>
    <row r="225" spans="1:70" ht="7.15" customHeight="1" thickTop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K225" s="53"/>
      <c r="AL225" s="53"/>
      <c r="AM225" s="53"/>
      <c r="AN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</row>
    <row r="226" spans="1:70" s="53" customFormat="1" ht="14.25" customHeight="1" x14ac:dyDescent="0.25">
      <c r="A226" s="95" t="s">
        <v>185</v>
      </c>
    </row>
    <row r="227" spans="1:70" x14ac:dyDescent="0.25">
      <c r="J227" s="518" t="s">
        <v>32</v>
      </c>
      <c r="K227" s="518"/>
      <c r="L227" s="518"/>
      <c r="M227" s="518"/>
      <c r="N227" s="518"/>
      <c r="O227" s="518"/>
      <c r="P227" s="1"/>
      <c r="Q227" s="518" t="s">
        <v>33</v>
      </c>
      <c r="R227" s="518"/>
      <c r="S227" s="518"/>
      <c r="T227" s="518"/>
      <c r="U227" s="518"/>
      <c r="V227" s="518"/>
      <c r="AO227" s="53"/>
    </row>
    <row r="228" spans="1:70" x14ac:dyDescent="0.25">
      <c r="A228" s="68" t="s">
        <v>31</v>
      </c>
      <c r="J228" s="548" t="b">
        <v>0</v>
      </c>
      <c r="K228" s="549"/>
      <c r="L228" s="550"/>
      <c r="M228" s="548" t="b">
        <v>0</v>
      </c>
      <c r="N228" s="549"/>
      <c r="O228" s="550"/>
      <c r="Q228" s="548" t="b">
        <v>0</v>
      </c>
      <c r="R228" s="549"/>
      <c r="S228" s="550"/>
      <c r="T228" s="548" t="b">
        <v>0</v>
      </c>
      <c r="U228" s="549"/>
      <c r="V228" s="550"/>
    </row>
    <row r="229" spans="1:70" ht="10.9" customHeight="1" x14ac:dyDescent="0.25">
      <c r="E229" s="37"/>
      <c r="F229" s="37"/>
      <c r="G229" s="37"/>
      <c r="H229" s="37"/>
    </row>
    <row r="230" spans="1:70" ht="14.65" customHeight="1" x14ac:dyDescent="0.25">
      <c r="E230" s="439" t="s">
        <v>117</v>
      </c>
      <c r="F230" s="439"/>
      <c r="G230" s="439"/>
      <c r="H230" s="439"/>
      <c r="I230" s="29"/>
      <c r="J230" s="439" t="s">
        <v>35</v>
      </c>
      <c r="K230" s="439"/>
      <c r="L230" s="439"/>
      <c r="M230" s="439"/>
      <c r="N230" s="439"/>
      <c r="O230" s="29"/>
      <c r="P230" s="439" t="s">
        <v>36</v>
      </c>
      <c r="Q230" s="439"/>
      <c r="R230" s="439"/>
      <c r="S230" s="439"/>
      <c r="T230" s="439"/>
      <c r="U230" s="27"/>
      <c r="V230" s="439" t="s">
        <v>37</v>
      </c>
      <c r="W230" s="439"/>
      <c r="X230" s="439"/>
      <c r="Y230" s="439"/>
      <c r="Z230" s="439"/>
    </row>
    <row r="231" spans="1:70" x14ac:dyDescent="0.25">
      <c r="E231" s="439"/>
      <c r="F231" s="439"/>
      <c r="G231" s="439"/>
      <c r="H231" s="439"/>
      <c r="I231" s="29"/>
      <c r="J231" s="439"/>
      <c r="K231" s="439"/>
      <c r="L231" s="439"/>
      <c r="M231" s="439"/>
      <c r="N231" s="439"/>
      <c r="O231" s="29"/>
      <c r="P231" s="439"/>
      <c r="Q231" s="439"/>
      <c r="R231" s="439"/>
      <c r="S231" s="439"/>
      <c r="T231" s="439"/>
      <c r="U231" s="27"/>
      <c r="V231" s="439"/>
      <c r="W231" s="439"/>
      <c r="X231" s="439"/>
      <c r="Y231" s="439"/>
      <c r="Z231" s="439"/>
    </row>
    <row r="232" spans="1:70" x14ac:dyDescent="0.25">
      <c r="A232" t="s">
        <v>34</v>
      </c>
      <c r="E232" s="427"/>
      <c r="F232" s="421"/>
      <c r="G232" s="421"/>
      <c r="H232" s="422"/>
      <c r="I232" s="1"/>
      <c r="J232" s="551" t="s">
        <v>111</v>
      </c>
      <c r="K232" s="552"/>
      <c r="L232" s="552"/>
      <c r="M232" s="552"/>
      <c r="N232" s="553"/>
      <c r="O232" s="26"/>
      <c r="P232" s="551" t="s">
        <v>111</v>
      </c>
      <c r="Q232" s="552"/>
      <c r="R232" s="552"/>
      <c r="S232" s="552"/>
      <c r="T232" s="553"/>
      <c r="V232" s="581" t="s">
        <v>111</v>
      </c>
      <c r="W232" s="582"/>
      <c r="X232" s="582"/>
      <c r="Y232" s="582"/>
      <c r="Z232" s="583"/>
    </row>
    <row r="233" spans="1:70" ht="10.9" customHeight="1" x14ac:dyDescent="0.25">
      <c r="E233" s="33"/>
      <c r="F233" s="33"/>
      <c r="G233" s="33"/>
      <c r="H233" s="33"/>
      <c r="V233" s="33"/>
      <c r="W233" s="33"/>
      <c r="X233" s="33"/>
      <c r="Y233" s="33"/>
      <c r="Z233" s="33"/>
    </row>
    <row r="234" spans="1:70" ht="14.65" customHeight="1" x14ac:dyDescent="0.25">
      <c r="E234" s="483" t="s">
        <v>170</v>
      </c>
      <c r="F234" s="483"/>
      <c r="G234" s="483"/>
      <c r="H234" s="483"/>
      <c r="I234" s="13"/>
      <c r="J234" s="483" t="s">
        <v>171</v>
      </c>
      <c r="K234" s="483"/>
      <c r="L234" s="483"/>
      <c r="M234" s="483"/>
    </row>
    <row r="235" spans="1:70" ht="14.65" customHeight="1" x14ac:dyDescent="0.25">
      <c r="E235" s="483"/>
      <c r="F235" s="483"/>
      <c r="G235" s="483"/>
      <c r="H235" s="483"/>
      <c r="I235" s="13"/>
      <c r="J235" s="483"/>
      <c r="K235" s="483"/>
      <c r="L235" s="483"/>
      <c r="M235" s="483"/>
      <c r="O235" s="485" t="s">
        <v>110</v>
      </c>
      <c r="P235" s="485"/>
      <c r="Q235" s="485"/>
      <c r="R235" s="485"/>
      <c r="S235" s="485"/>
      <c r="T235" s="485"/>
      <c r="U235" s="485"/>
      <c r="V235" s="485"/>
      <c r="W235" s="485"/>
      <c r="X235" s="485"/>
      <c r="Y235" s="485"/>
      <c r="Z235" s="485"/>
      <c r="AA235" s="485"/>
      <c r="AB235" s="485"/>
      <c r="AC235" s="485"/>
      <c r="AD235" s="485"/>
      <c r="AE235" s="485"/>
      <c r="AF235" s="485"/>
      <c r="AG235" s="485"/>
      <c r="AH235" s="485"/>
    </row>
    <row r="236" spans="1:70" x14ac:dyDescent="0.25">
      <c r="A236" t="s">
        <v>6</v>
      </c>
      <c r="E236" s="496"/>
      <c r="F236" s="497"/>
      <c r="G236" s="497"/>
      <c r="H236" s="498"/>
      <c r="J236" s="424"/>
      <c r="K236" s="423"/>
      <c r="L236" s="423"/>
      <c r="M236" s="437"/>
      <c r="O236" s="424"/>
      <c r="P236" s="423"/>
      <c r="Q236" s="423"/>
      <c r="R236" s="421" t="s">
        <v>120</v>
      </c>
      <c r="S236" s="422"/>
      <c r="T236" s="423"/>
      <c r="U236" s="423"/>
      <c r="V236" s="423"/>
      <c r="W236" s="421" t="s">
        <v>121</v>
      </c>
      <c r="X236" s="422"/>
      <c r="Y236" s="423"/>
      <c r="Z236" s="423"/>
      <c r="AA236" s="423"/>
      <c r="AB236" s="421" t="s">
        <v>122</v>
      </c>
      <c r="AC236" s="422"/>
      <c r="AD236" s="423"/>
      <c r="AE236" s="423"/>
      <c r="AF236" s="423"/>
      <c r="AG236" s="421" t="s">
        <v>123</v>
      </c>
      <c r="AH236" s="422"/>
    </row>
    <row r="237" spans="1:70" s="53" customFormat="1" ht="5.25" customHeight="1" x14ac:dyDescent="0.25">
      <c r="AO237"/>
    </row>
    <row r="238" spans="1:70" s="53" customFormat="1" ht="14.25" customHeight="1" x14ac:dyDescent="0.25">
      <c r="A238" s="114" t="s">
        <v>198</v>
      </c>
    </row>
    <row r="239" spans="1:70" s="53" customFormat="1" ht="3" customHeight="1" x14ac:dyDescent="0.25"/>
    <row r="240" spans="1:70" ht="15" customHeight="1" x14ac:dyDescent="0.25">
      <c r="A240" s="2"/>
      <c r="B240" s="2"/>
      <c r="C240" s="2"/>
      <c r="D240" s="2"/>
      <c r="E240" s="2"/>
      <c r="F240" s="288" t="s">
        <v>9</v>
      </c>
      <c r="G240" s="288"/>
      <c r="H240" s="288"/>
      <c r="I240" s="288"/>
      <c r="J240" s="6"/>
      <c r="K240" s="288" t="s">
        <v>30</v>
      </c>
      <c r="L240" s="288"/>
      <c r="M240" s="288"/>
      <c r="N240" s="288"/>
      <c r="P240" s="68" t="s">
        <v>215</v>
      </c>
      <c r="AO240" s="53"/>
    </row>
    <row r="241" spans="1:70" ht="15" customHeight="1" x14ac:dyDescent="0.25">
      <c r="F241" s="288"/>
      <c r="G241" s="288"/>
      <c r="H241" s="288"/>
      <c r="I241" s="288"/>
      <c r="J241" s="7"/>
      <c r="K241" s="288"/>
      <c r="L241" s="288"/>
      <c r="M241" s="288"/>
      <c r="N241" s="288"/>
      <c r="P241" s="227"/>
      <c r="Q241" s="228"/>
      <c r="R241" s="228"/>
      <c r="S241" s="228"/>
      <c r="T241" s="228"/>
      <c r="U241" s="228"/>
      <c r="V241" s="228"/>
      <c r="W241" s="228"/>
      <c r="X241" s="228"/>
      <c r="Y241" s="228"/>
      <c r="Z241" s="228"/>
      <c r="AA241" s="228"/>
      <c r="AB241" s="228"/>
      <c r="AC241" s="228"/>
      <c r="AD241" s="228"/>
      <c r="AE241" s="228"/>
      <c r="AF241" s="228"/>
      <c r="AG241" s="228"/>
      <c r="AH241" s="229"/>
      <c r="AK241" s="5"/>
      <c r="AL241" s="5"/>
      <c r="AM241" s="5"/>
      <c r="AN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</row>
    <row r="242" spans="1:70" x14ac:dyDescent="0.25">
      <c r="A242" s="482" t="s">
        <v>6</v>
      </c>
      <c r="B242" s="482"/>
      <c r="C242" s="482"/>
      <c r="D242" s="482"/>
      <c r="E242" s="482"/>
      <c r="F242" s="476"/>
      <c r="G242" s="477"/>
      <c r="H242" s="477"/>
      <c r="I242" s="478"/>
      <c r="J242" s="3"/>
      <c r="K242" s="476"/>
      <c r="L242" s="477"/>
      <c r="M242" s="477"/>
      <c r="N242" s="478"/>
      <c r="P242" s="230"/>
      <c r="Q242" s="231"/>
      <c r="R242" s="231"/>
      <c r="S242" s="231"/>
      <c r="T242" s="231"/>
      <c r="U242" s="231"/>
      <c r="V242" s="231"/>
      <c r="W242" s="231"/>
      <c r="X242" s="231"/>
      <c r="Y242" s="231"/>
      <c r="Z242" s="231"/>
      <c r="AA242" s="231"/>
      <c r="AB242" s="231"/>
      <c r="AC242" s="231"/>
      <c r="AD242" s="231"/>
      <c r="AE242" s="231"/>
      <c r="AF242" s="231"/>
      <c r="AG242" s="231"/>
      <c r="AH242" s="232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 ht="7.15" customHeight="1" x14ac:dyDescent="0.25">
      <c r="P243" s="230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2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 x14ac:dyDescent="0.25">
      <c r="A244" s="554" t="s">
        <v>5</v>
      </c>
      <c r="B244" s="554"/>
      <c r="C244" s="554"/>
      <c r="D244" s="554"/>
      <c r="E244" s="554"/>
      <c r="F244" s="479"/>
      <c r="G244" s="480"/>
      <c r="H244" s="480"/>
      <c r="I244" s="481"/>
      <c r="J244" s="4"/>
      <c r="K244" s="479"/>
      <c r="L244" s="480"/>
      <c r="M244" s="480"/>
      <c r="N244" s="481"/>
      <c r="P244" s="307"/>
      <c r="Q244" s="308"/>
      <c r="R244" s="308"/>
      <c r="S244" s="308"/>
      <c r="T244" s="308"/>
      <c r="U244" s="308"/>
      <c r="V244" s="308"/>
      <c r="W244" s="308"/>
      <c r="X244" s="308"/>
      <c r="Y244" s="308"/>
      <c r="Z244" s="308"/>
      <c r="AA244" s="308"/>
      <c r="AB244" s="308"/>
      <c r="AC244" s="308"/>
      <c r="AD244" s="308"/>
      <c r="AE244" s="308"/>
      <c r="AF244" s="308"/>
      <c r="AG244" s="308"/>
      <c r="AH244" s="309"/>
      <c r="AO244" s="5"/>
    </row>
    <row r="245" spans="1:70" ht="8.25" customHeight="1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  <c r="AK245" s="37"/>
      <c r="AL245" s="37"/>
      <c r="AM245" s="37"/>
      <c r="AN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/>
      <c r="BQ245" s="37"/>
      <c r="BR245" s="37"/>
    </row>
    <row r="246" spans="1:70" s="53" customFormat="1" ht="8.25" customHeight="1" x14ac:dyDescent="0.25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</row>
    <row r="247" spans="1:70" ht="14.25" customHeight="1" x14ac:dyDescent="0.25">
      <c r="A247" s="446" t="s">
        <v>183</v>
      </c>
      <c r="B247" s="446"/>
      <c r="C247" s="446"/>
      <c r="D247" s="446"/>
      <c r="E247" s="446"/>
      <c r="F247" s="446"/>
      <c r="G247" s="446"/>
      <c r="H247" s="446"/>
      <c r="I247" s="446"/>
      <c r="J247" s="446"/>
      <c r="K247" s="446"/>
      <c r="L247" s="446"/>
      <c r="M247" s="446"/>
      <c r="N247" s="446"/>
      <c r="O247" s="446"/>
      <c r="P247" s="446"/>
      <c r="Q247" s="446"/>
      <c r="R247" s="446"/>
      <c r="S247" s="5"/>
      <c r="T247" s="470" t="s">
        <v>166</v>
      </c>
      <c r="U247" s="470"/>
      <c r="V247" s="470"/>
      <c r="W247" s="470"/>
      <c r="X247" s="470"/>
      <c r="Y247" s="470"/>
      <c r="AB247" s="470" t="s">
        <v>167</v>
      </c>
      <c r="AC247" s="470"/>
      <c r="AD247" s="470"/>
      <c r="AE247" s="470"/>
      <c r="AF247" s="470"/>
      <c r="AG247" s="470"/>
      <c r="AH247" s="64"/>
      <c r="AO247" s="37"/>
    </row>
    <row r="248" spans="1:70" ht="14.25" customHeight="1" x14ac:dyDescent="0.25">
      <c r="A248" s="446"/>
      <c r="B248" s="446"/>
      <c r="C248" s="446"/>
      <c r="D248" s="446"/>
      <c r="E248" s="446"/>
      <c r="F248" s="446"/>
      <c r="G248" s="446"/>
      <c r="H248" s="446"/>
      <c r="I248" s="446"/>
      <c r="J248" s="446"/>
      <c r="K248" s="446"/>
      <c r="L248" s="446"/>
      <c r="M248" s="446"/>
      <c r="N248" s="446"/>
      <c r="O248" s="446"/>
      <c r="P248" s="446"/>
      <c r="Q248" s="446"/>
      <c r="R248" s="446"/>
      <c r="S248" s="63"/>
      <c r="T248" s="470"/>
      <c r="U248" s="470"/>
      <c r="V248" s="470"/>
      <c r="W248" s="470"/>
      <c r="X248" s="470"/>
      <c r="Y248" s="470"/>
      <c r="AB248" s="470"/>
      <c r="AC248" s="470"/>
      <c r="AD248" s="470"/>
      <c r="AE248" s="470"/>
      <c r="AF248" s="470"/>
      <c r="AG248" s="470"/>
      <c r="AH248" s="64"/>
    </row>
    <row r="249" spans="1:70" ht="14.25" customHeight="1" x14ac:dyDescent="0.25">
      <c r="A249" s="469" t="s">
        <v>214</v>
      </c>
      <c r="B249" s="469"/>
      <c r="C249" s="469"/>
      <c r="D249" s="469"/>
      <c r="E249" s="469"/>
      <c r="F249" s="469"/>
      <c r="G249" s="469"/>
      <c r="H249" s="469"/>
      <c r="I249" s="469"/>
      <c r="J249" s="469"/>
      <c r="K249" s="469"/>
      <c r="L249" s="469"/>
      <c r="M249" s="469"/>
      <c r="N249" s="469"/>
      <c r="O249" s="469"/>
      <c r="P249" s="469"/>
      <c r="Q249" s="469"/>
      <c r="R249" s="469"/>
      <c r="S249" s="63"/>
      <c r="T249" s="440"/>
      <c r="U249" s="441"/>
      <c r="V249" s="441"/>
      <c r="W249" s="441"/>
      <c r="X249" s="441"/>
      <c r="Y249" s="442"/>
      <c r="AB249" s="440"/>
      <c r="AC249" s="441"/>
      <c r="AD249" s="441"/>
      <c r="AE249" s="441"/>
      <c r="AF249" s="441"/>
      <c r="AG249" s="442"/>
      <c r="AH249" s="64"/>
    </row>
    <row r="250" spans="1:70" ht="14.25" customHeight="1" x14ac:dyDescent="0.25">
      <c r="A250" s="469"/>
      <c r="B250" s="469"/>
      <c r="C250" s="469"/>
      <c r="D250" s="469"/>
      <c r="E250" s="469"/>
      <c r="F250" s="469"/>
      <c r="G250" s="469"/>
      <c r="H250" s="469"/>
      <c r="I250" s="469"/>
      <c r="J250" s="469"/>
      <c r="K250" s="469"/>
      <c r="L250" s="469"/>
      <c r="M250" s="469"/>
      <c r="N250" s="469"/>
      <c r="O250" s="469"/>
      <c r="P250" s="469"/>
      <c r="Q250" s="469"/>
      <c r="R250" s="469"/>
      <c r="S250" s="53"/>
      <c r="T250" s="443"/>
      <c r="U250" s="444"/>
      <c r="V250" s="444"/>
      <c r="W250" s="444"/>
      <c r="X250" s="444"/>
      <c r="Y250" s="445"/>
      <c r="AB250" s="443"/>
      <c r="AC250" s="444"/>
      <c r="AD250" s="444"/>
      <c r="AE250" s="444"/>
      <c r="AF250" s="444"/>
      <c r="AG250" s="445"/>
      <c r="AH250" s="64"/>
    </row>
    <row r="251" spans="1:70" s="53" customFormat="1" ht="8.25" customHeight="1" x14ac:dyDescent="0.25">
      <c r="A251" s="82"/>
      <c r="B251" s="82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82"/>
      <c r="P251" s="82"/>
      <c r="Q251" s="82"/>
      <c r="R251" s="82"/>
      <c r="S251" s="80"/>
      <c r="T251" s="83"/>
      <c r="U251" s="83"/>
      <c r="V251" s="83"/>
      <c r="W251" s="83"/>
      <c r="X251" s="83"/>
      <c r="Y251" s="83"/>
      <c r="Z251" s="80"/>
      <c r="AA251" s="80"/>
      <c r="AB251" s="83"/>
      <c r="AC251" s="83"/>
      <c r="AD251" s="83"/>
      <c r="AE251" s="83"/>
      <c r="AF251" s="83"/>
      <c r="AG251" s="83"/>
      <c r="AH251" s="8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 s="53" customFormat="1" ht="8.25" customHeight="1" x14ac:dyDescent="0.25"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H252" s="6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 ht="14.25" customHeight="1" x14ac:dyDescent="0.25">
      <c r="A253" s="8" t="s">
        <v>184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84" t="s">
        <v>22</v>
      </c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H253" s="2"/>
    </row>
    <row r="254" spans="1:70" ht="14.25" customHeight="1" x14ac:dyDescent="0.25">
      <c r="A254" s="428" t="s">
        <v>213</v>
      </c>
      <c r="B254" s="429"/>
      <c r="C254" s="429"/>
      <c r="D254" s="429"/>
      <c r="E254" s="429"/>
      <c r="F254" s="429"/>
      <c r="G254" s="429"/>
      <c r="H254" s="429"/>
      <c r="I254" s="429"/>
      <c r="J254" s="429"/>
      <c r="K254" s="429"/>
      <c r="L254" s="429"/>
      <c r="M254" s="429"/>
      <c r="N254" s="429"/>
      <c r="O254" s="430"/>
      <c r="P254" s="85"/>
      <c r="Q254" s="412"/>
      <c r="R254" s="413"/>
      <c r="S254" s="413"/>
      <c r="T254" s="413"/>
      <c r="U254" s="413"/>
      <c r="V254" s="413"/>
      <c r="W254" s="413"/>
      <c r="X254" s="413"/>
      <c r="Y254" s="413"/>
      <c r="Z254" s="413"/>
      <c r="AA254" s="413"/>
      <c r="AB254" s="413"/>
      <c r="AC254" s="413"/>
      <c r="AD254" s="413"/>
      <c r="AE254" s="413"/>
      <c r="AF254" s="413"/>
      <c r="AG254" s="413"/>
      <c r="AH254" s="414"/>
    </row>
    <row r="255" spans="1:70" ht="14.25" customHeight="1" x14ac:dyDescent="0.25">
      <c r="A255" s="431"/>
      <c r="B255" s="432"/>
      <c r="C255" s="432"/>
      <c r="D255" s="432"/>
      <c r="E255" s="432"/>
      <c r="F255" s="432"/>
      <c r="G255" s="432"/>
      <c r="H255" s="432"/>
      <c r="I255" s="432"/>
      <c r="J255" s="432"/>
      <c r="K255" s="432"/>
      <c r="L255" s="432"/>
      <c r="M255" s="432"/>
      <c r="N255" s="432"/>
      <c r="O255" s="433"/>
      <c r="P255" s="85"/>
      <c r="Q255" s="415"/>
      <c r="R255" s="416"/>
      <c r="S255" s="416"/>
      <c r="T255" s="416"/>
      <c r="U255" s="416"/>
      <c r="V255" s="416"/>
      <c r="W255" s="416"/>
      <c r="X255" s="416"/>
      <c r="Y255" s="416"/>
      <c r="Z255" s="416"/>
      <c r="AA255" s="416"/>
      <c r="AB255" s="416"/>
      <c r="AC255" s="416"/>
      <c r="AD255" s="416"/>
      <c r="AE255" s="416"/>
      <c r="AF255" s="416"/>
      <c r="AG255" s="416"/>
      <c r="AH255" s="417"/>
    </row>
    <row r="256" spans="1:70" ht="14.25" customHeight="1" x14ac:dyDescent="0.25">
      <c r="A256" s="434"/>
      <c r="B256" s="435"/>
      <c r="C256" s="435"/>
      <c r="D256" s="435"/>
      <c r="E256" s="435"/>
      <c r="F256" s="435"/>
      <c r="G256" s="435"/>
      <c r="H256" s="435"/>
      <c r="I256" s="435"/>
      <c r="J256" s="435"/>
      <c r="K256" s="435"/>
      <c r="L256" s="435"/>
      <c r="M256" s="435"/>
      <c r="N256" s="435"/>
      <c r="O256" s="436"/>
      <c r="P256" s="85"/>
      <c r="Q256" s="418"/>
      <c r="R256" s="419"/>
      <c r="S256" s="419"/>
      <c r="T256" s="419"/>
      <c r="U256" s="419"/>
      <c r="V256" s="419"/>
      <c r="W256" s="419"/>
      <c r="X256" s="419"/>
      <c r="Y256" s="419"/>
      <c r="Z256" s="419"/>
      <c r="AA256" s="419"/>
      <c r="AB256" s="419"/>
      <c r="AC256" s="419"/>
      <c r="AD256" s="419"/>
      <c r="AE256" s="419"/>
      <c r="AF256" s="419"/>
      <c r="AG256" s="419"/>
      <c r="AH256" s="420"/>
    </row>
    <row r="257" spans="1:70" s="53" customFormat="1" ht="8.25" customHeight="1" x14ac:dyDescent="0.25">
      <c r="A257" s="87"/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5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 ht="14.25" customHeight="1" x14ac:dyDescent="0.25">
      <c r="A258" s="542" t="s">
        <v>212</v>
      </c>
      <c r="B258" s="543"/>
      <c r="C258" s="543"/>
      <c r="D258" s="543"/>
      <c r="E258" s="543"/>
      <c r="F258" s="543"/>
      <c r="G258" s="543"/>
      <c r="H258" s="543"/>
      <c r="I258" s="543"/>
      <c r="J258" s="543"/>
      <c r="K258" s="543"/>
      <c r="L258" s="543"/>
      <c r="M258" s="543"/>
      <c r="N258" s="543"/>
      <c r="O258" s="543"/>
      <c r="P258" s="543"/>
      <c r="Q258" s="543"/>
      <c r="R258" s="543"/>
      <c r="S258" s="544"/>
      <c r="T258" s="22"/>
      <c r="U258" s="541" t="s">
        <v>11</v>
      </c>
      <c r="V258" s="541"/>
      <c r="W258" s="541"/>
      <c r="X258" s="541"/>
      <c r="Y258" s="21"/>
      <c r="Z258" s="540" t="s">
        <v>12</v>
      </c>
      <c r="AA258" s="540"/>
      <c r="AB258" s="540"/>
      <c r="AC258" s="540"/>
      <c r="AD258" s="21"/>
      <c r="AE258" s="21"/>
      <c r="AF258" s="21"/>
    </row>
    <row r="259" spans="1:70" ht="14.25" customHeight="1" x14ac:dyDescent="0.25">
      <c r="A259" s="545"/>
      <c r="B259" s="405"/>
      <c r="C259" s="405"/>
      <c r="D259" s="405"/>
      <c r="E259" s="405"/>
      <c r="F259" s="405"/>
      <c r="G259" s="405"/>
      <c r="H259" s="405"/>
      <c r="I259" s="405"/>
      <c r="J259" s="405"/>
      <c r="K259" s="405"/>
      <c r="L259" s="405"/>
      <c r="M259" s="405"/>
      <c r="N259" s="405"/>
      <c r="O259" s="405"/>
      <c r="P259" s="405"/>
      <c r="Q259" s="405"/>
      <c r="R259" s="405"/>
      <c r="S259" s="406"/>
      <c r="T259" s="22"/>
      <c r="U259" s="424"/>
      <c r="V259" s="423"/>
      <c r="W259" s="423"/>
      <c r="X259" s="437"/>
      <c r="Y259" s="21"/>
      <c r="Z259" s="424"/>
      <c r="AA259" s="423"/>
      <c r="AB259" s="423"/>
      <c r="AC259" s="437"/>
      <c r="AD259" s="21"/>
      <c r="AE259" s="21"/>
      <c r="AF259" s="21"/>
      <c r="AG259" s="5"/>
      <c r="AH259" s="5"/>
    </row>
    <row r="260" spans="1:70" ht="8.25" customHeight="1" x14ac:dyDescent="0.25">
      <c r="A260" s="80"/>
      <c r="B260" s="80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</row>
    <row r="261" spans="1:70" ht="8.25" customHeight="1" x14ac:dyDescent="0.25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</row>
    <row r="262" spans="1:70" ht="14.25" customHeight="1" x14ac:dyDescent="0.25">
      <c r="A262" s="66" t="s">
        <v>216</v>
      </c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76" t="s">
        <v>8</v>
      </c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</row>
    <row r="263" spans="1:70" ht="14.25" customHeight="1" x14ac:dyDescent="0.25">
      <c r="A263" s="385" t="s">
        <v>211</v>
      </c>
      <c r="B263" s="385"/>
      <c r="C263" s="385"/>
      <c r="D263" s="385"/>
      <c r="E263" s="385"/>
      <c r="F263" s="385"/>
      <c r="G263" s="385"/>
      <c r="H263" s="385"/>
      <c r="I263" s="385"/>
      <c r="J263" s="385"/>
      <c r="K263" s="385"/>
      <c r="L263" s="385"/>
      <c r="M263" s="385"/>
      <c r="N263" s="385"/>
      <c r="O263" s="385"/>
      <c r="P263" s="386"/>
      <c r="Q263" s="402"/>
      <c r="R263" s="402"/>
      <c r="S263" s="402"/>
      <c r="T263" s="402"/>
      <c r="U263" s="402"/>
      <c r="V263" s="402"/>
      <c r="X263" s="519"/>
      <c r="Y263" s="520"/>
      <c r="Z263" s="520"/>
      <c r="AA263" s="520"/>
      <c r="AB263" s="520"/>
      <c r="AC263" s="520"/>
      <c r="AD263" s="520"/>
      <c r="AE263" s="520"/>
      <c r="AF263" s="520"/>
      <c r="AG263" s="520"/>
      <c r="AH263" s="521"/>
    </row>
    <row r="264" spans="1:70" ht="14.25" customHeight="1" x14ac:dyDescent="0.25">
      <c r="A264" s="388"/>
      <c r="B264" s="388"/>
      <c r="C264" s="388"/>
      <c r="D264" s="388"/>
      <c r="E264" s="388"/>
      <c r="F264" s="388"/>
      <c r="G264" s="388"/>
      <c r="H264" s="388"/>
      <c r="I264" s="388"/>
      <c r="J264" s="388"/>
      <c r="K264" s="388"/>
      <c r="L264" s="388"/>
      <c r="M264" s="388"/>
      <c r="N264" s="388"/>
      <c r="O264" s="388"/>
      <c r="P264" s="389"/>
      <c r="Q264" s="402"/>
      <c r="R264" s="402"/>
      <c r="S264" s="402"/>
      <c r="T264" s="402"/>
      <c r="U264" s="402"/>
      <c r="V264" s="402"/>
      <c r="X264" s="522"/>
      <c r="Y264" s="523"/>
      <c r="Z264" s="523"/>
      <c r="AA264" s="523"/>
      <c r="AB264" s="523"/>
      <c r="AC264" s="523"/>
      <c r="AD264" s="523"/>
      <c r="AE264" s="523"/>
      <c r="AF264" s="523"/>
      <c r="AG264" s="523"/>
      <c r="AH264" s="524"/>
    </row>
    <row r="265" spans="1:70" ht="14.25" customHeight="1" x14ac:dyDescent="0.25">
      <c r="Q265" s="77"/>
      <c r="R265" s="77"/>
      <c r="X265" s="522"/>
      <c r="Y265" s="523"/>
      <c r="Z265" s="523"/>
      <c r="AA265" s="523"/>
      <c r="AB265" s="523"/>
      <c r="AC265" s="523"/>
      <c r="AD265" s="523"/>
      <c r="AE265" s="523"/>
      <c r="AF265" s="523"/>
      <c r="AG265" s="523"/>
      <c r="AH265" s="524"/>
    </row>
    <row r="266" spans="1:70" ht="14.25" customHeight="1" x14ac:dyDescent="0.25">
      <c r="A266" s="403" t="s">
        <v>210</v>
      </c>
      <c r="B266" s="403"/>
      <c r="C266" s="403"/>
      <c r="D266" s="403"/>
      <c r="E266" s="403"/>
      <c r="F266" s="403"/>
      <c r="G266" s="403"/>
      <c r="H266" s="403"/>
      <c r="I266" s="403"/>
      <c r="J266" s="403"/>
      <c r="K266" s="403"/>
      <c r="L266" s="403"/>
      <c r="M266" s="403"/>
      <c r="N266" s="403"/>
      <c r="O266" s="403"/>
      <c r="P266" s="404"/>
      <c r="Q266" s="227"/>
      <c r="R266" s="228"/>
      <c r="S266" s="229"/>
      <c r="T266" s="228"/>
      <c r="U266" s="228"/>
      <c r="V266" s="229"/>
      <c r="X266" s="522"/>
      <c r="Y266" s="523"/>
      <c r="Z266" s="523"/>
      <c r="AA266" s="523"/>
      <c r="AB266" s="523"/>
      <c r="AC266" s="523"/>
      <c r="AD266" s="523"/>
      <c r="AE266" s="523"/>
      <c r="AF266" s="523"/>
      <c r="AG266" s="523"/>
      <c r="AH266" s="524"/>
    </row>
    <row r="267" spans="1:70" ht="14.25" customHeight="1" x14ac:dyDescent="0.25">
      <c r="A267" s="405"/>
      <c r="B267" s="405"/>
      <c r="C267" s="405"/>
      <c r="D267" s="405"/>
      <c r="E267" s="405"/>
      <c r="F267" s="405"/>
      <c r="G267" s="405"/>
      <c r="H267" s="405"/>
      <c r="I267" s="405"/>
      <c r="J267" s="405"/>
      <c r="K267" s="405"/>
      <c r="L267" s="405"/>
      <c r="M267" s="405"/>
      <c r="N267" s="405"/>
      <c r="O267" s="405"/>
      <c r="P267" s="406"/>
      <c r="Q267" s="307"/>
      <c r="R267" s="308"/>
      <c r="S267" s="309"/>
      <c r="T267" s="308"/>
      <c r="U267" s="308"/>
      <c r="V267" s="309"/>
      <c r="X267" s="525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7"/>
    </row>
    <row r="268" spans="1:70" s="53" customFormat="1" ht="8.25" customHeight="1" x14ac:dyDescent="0.25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9"/>
      <c r="R268" s="79"/>
      <c r="S268" s="79"/>
      <c r="T268" s="79"/>
      <c r="U268" s="79"/>
      <c r="V268" s="79"/>
      <c r="W268" s="80"/>
      <c r="X268" s="61"/>
      <c r="Y268" s="61"/>
      <c r="Z268" s="61"/>
      <c r="AA268" s="61"/>
      <c r="AB268" s="61"/>
      <c r="AC268" s="61"/>
      <c r="AD268" s="61"/>
      <c r="AE268" s="61"/>
      <c r="AF268" s="61"/>
      <c r="AG268" s="81"/>
      <c r="AH268" s="81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 ht="8.25" customHeight="1" x14ac:dyDescent="0.2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64"/>
    </row>
    <row r="270" spans="1:70" s="5" customFormat="1" ht="14.25" customHeight="1" x14ac:dyDescent="0.25">
      <c r="A270" s="8" t="s">
        <v>10</v>
      </c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X270" s="76" t="s">
        <v>8</v>
      </c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 s="5" customFormat="1" ht="14.25" customHeight="1" x14ac:dyDescent="0.25">
      <c r="A271" s="384" t="s">
        <v>208</v>
      </c>
      <c r="B271" s="385"/>
      <c r="C271" s="385"/>
      <c r="D271" s="385"/>
      <c r="E271" s="385"/>
      <c r="F271" s="385"/>
      <c r="G271" s="385"/>
      <c r="H271" s="385"/>
      <c r="I271" s="385"/>
      <c r="J271" s="385"/>
      <c r="K271" s="385"/>
      <c r="L271" s="385"/>
      <c r="M271" s="385"/>
      <c r="N271" s="385"/>
      <c r="O271" s="385"/>
      <c r="P271" s="385"/>
      <c r="Q271" s="385"/>
      <c r="R271" s="385"/>
      <c r="S271" s="386"/>
      <c r="T271" s="396"/>
      <c r="U271" s="397"/>
      <c r="V271" s="398"/>
      <c r="W271"/>
      <c r="X271" s="519"/>
      <c r="Y271" s="520"/>
      <c r="Z271" s="520"/>
      <c r="AA271" s="520"/>
      <c r="AB271" s="520"/>
      <c r="AC271" s="520"/>
      <c r="AD271" s="520"/>
      <c r="AE271" s="520"/>
      <c r="AF271" s="520"/>
      <c r="AG271" s="520"/>
      <c r="AH271" s="52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 s="5" customFormat="1" ht="14.25" customHeight="1" x14ac:dyDescent="0.25">
      <c r="A272" s="387"/>
      <c r="B272" s="388"/>
      <c r="C272" s="388"/>
      <c r="D272" s="388"/>
      <c r="E272" s="388"/>
      <c r="F272" s="388"/>
      <c r="G272" s="388"/>
      <c r="H272" s="388"/>
      <c r="I272" s="388"/>
      <c r="J272" s="388"/>
      <c r="K272" s="388"/>
      <c r="L272" s="388"/>
      <c r="M272" s="388"/>
      <c r="N272" s="388"/>
      <c r="O272" s="388"/>
      <c r="P272" s="388"/>
      <c r="Q272" s="388"/>
      <c r="R272" s="388"/>
      <c r="S272" s="389"/>
      <c r="T272" s="399"/>
      <c r="U272" s="400"/>
      <c r="V272" s="401"/>
      <c r="W272"/>
      <c r="X272" s="522"/>
      <c r="Y272" s="523"/>
      <c r="Z272" s="523"/>
      <c r="AA272" s="523"/>
      <c r="AB272" s="523"/>
      <c r="AC272" s="523"/>
      <c r="AD272" s="523"/>
      <c r="AE272" s="523"/>
      <c r="AF272" s="523"/>
      <c r="AG272" s="523"/>
      <c r="AH272" s="524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 ht="8.25" customHeight="1" x14ac:dyDescent="0.25">
      <c r="X273" s="522"/>
      <c r="Y273" s="523"/>
      <c r="Z273" s="523"/>
      <c r="AA273" s="523"/>
      <c r="AB273" s="523"/>
      <c r="AC273" s="523"/>
      <c r="AD273" s="523"/>
      <c r="AE273" s="523"/>
      <c r="AF273" s="523"/>
      <c r="AG273" s="523"/>
      <c r="AH273" s="524"/>
    </row>
    <row r="274" spans="1:70" s="37" customFormat="1" ht="14.25" customHeight="1" x14ac:dyDescent="0.25">
      <c r="A274" s="390" t="s">
        <v>209</v>
      </c>
      <c r="B274" s="391"/>
      <c r="C274" s="391"/>
      <c r="D274" s="391"/>
      <c r="E274" s="391"/>
      <c r="F274" s="391"/>
      <c r="G274" s="391"/>
      <c r="H274" s="391"/>
      <c r="I274" s="391"/>
      <c r="J274" s="391"/>
      <c r="K274" s="391"/>
      <c r="L274" s="391"/>
      <c r="M274" s="391"/>
      <c r="N274" s="391"/>
      <c r="O274" s="391"/>
      <c r="P274" s="391"/>
      <c r="Q274" s="391"/>
      <c r="R274" s="391"/>
      <c r="S274" s="392"/>
      <c r="T274" s="396"/>
      <c r="U274" s="397"/>
      <c r="V274" s="398"/>
      <c r="W274"/>
      <c r="X274" s="522"/>
      <c r="Y274" s="523"/>
      <c r="Z274" s="523"/>
      <c r="AA274" s="523"/>
      <c r="AB274" s="523"/>
      <c r="AC274" s="523"/>
      <c r="AD274" s="523"/>
      <c r="AE274" s="523"/>
      <c r="AF274" s="523"/>
      <c r="AG274" s="523"/>
      <c r="AH274" s="52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 s="37" customFormat="1" ht="14.25" customHeight="1" x14ac:dyDescent="0.25">
      <c r="A275" s="393"/>
      <c r="B275" s="394"/>
      <c r="C275" s="394"/>
      <c r="D275" s="394"/>
      <c r="E275" s="394"/>
      <c r="F275" s="394"/>
      <c r="G275" s="394"/>
      <c r="H275" s="394"/>
      <c r="I275" s="394"/>
      <c r="J275" s="394"/>
      <c r="K275" s="394"/>
      <c r="L275" s="394"/>
      <c r="M275" s="394"/>
      <c r="N275" s="394"/>
      <c r="O275" s="394"/>
      <c r="P275" s="394"/>
      <c r="Q275" s="394"/>
      <c r="R275" s="394"/>
      <c r="S275" s="395"/>
      <c r="T275" s="399"/>
      <c r="U275" s="400"/>
      <c r="V275" s="401"/>
      <c r="W275"/>
      <c r="X275" s="525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7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 ht="8.25" customHeight="1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1"/>
      <c r="L276" s="11"/>
      <c r="M276" s="11"/>
      <c r="N276" s="11"/>
      <c r="O276" s="11"/>
      <c r="P276" s="11"/>
      <c r="Q276" s="10"/>
      <c r="R276" s="10"/>
      <c r="S276" s="10"/>
      <c r="T276" s="10"/>
      <c r="U276" s="10"/>
      <c r="V276" s="10"/>
      <c r="X276" s="35"/>
      <c r="Y276" s="35"/>
      <c r="Z276" s="35"/>
      <c r="AA276" s="35"/>
      <c r="AB276" s="35"/>
      <c r="AC276" s="35"/>
      <c r="AD276" s="35"/>
      <c r="AE276" s="35"/>
      <c r="AF276" s="35"/>
      <c r="AG276" s="64"/>
      <c r="AH276" s="64"/>
    </row>
    <row r="277" spans="1:70" ht="14.25" customHeight="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5"/>
      <c r="U277" s="146"/>
      <c r="V277" s="146"/>
      <c r="W277" s="146"/>
      <c r="X277" s="5"/>
      <c r="Y277" s="146"/>
      <c r="Z277" s="146"/>
      <c r="AA277" s="146"/>
      <c r="AB277" s="146"/>
      <c r="AG277" s="64"/>
      <c r="AH277" s="64"/>
    </row>
    <row r="278" spans="1:70" ht="14.25" customHeight="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8"/>
      <c r="U278" s="148"/>
      <c r="V278" s="148"/>
      <c r="W278" s="148"/>
      <c r="X278" s="5"/>
      <c r="Y278" s="148"/>
      <c r="Z278" s="148"/>
      <c r="AA278" s="148"/>
      <c r="AB278" s="148"/>
      <c r="AG278" s="64"/>
      <c r="AH278" s="64"/>
    </row>
  </sheetData>
  <mergeCells count="401">
    <mergeCell ref="A17:AH27"/>
    <mergeCell ref="H38:U38"/>
    <mergeCell ref="A39:G39"/>
    <mergeCell ref="H39:U39"/>
    <mergeCell ref="A36:G36"/>
    <mergeCell ref="H36:U36"/>
    <mergeCell ref="A37:G37"/>
    <mergeCell ref="H37:U37"/>
    <mergeCell ref="V31:AH31"/>
    <mergeCell ref="V32:AH32"/>
    <mergeCell ref="V33:AH33"/>
    <mergeCell ref="V34:AH34"/>
    <mergeCell ref="V35:AH35"/>
    <mergeCell ref="V36:AH36"/>
    <mergeCell ref="V37:AH37"/>
    <mergeCell ref="H31:U31"/>
    <mergeCell ref="H32:U32"/>
    <mergeCell ref="H33:U33"/>
    <mergeCell ref="H34:U34"/>
    <mergeCell ref="H35:U35"/>
    <mergeCell ref="A29:AH29"/>
    <mergeCell ref="A31:G31"/>
    <mergeCell ref="A32:G32"/>
    <mergeCell ref="A33:G33"/>
    <mergeCell ref="A143:AH143"/>
    <mergeCell ref="Z56:AC56"/>
    <mergeCell ref="G123:I123"/>
    <mergeCell ref="Y102:AB102"/>
    <mergeCell ref="A92:AH92"/>
    <mergeCell ref="Z154:AC154"/>
    <mergeCell ref="I164:O167"/>
    <mergeCell ref="A121:C122"/>
    <mergeCell ref="D121:F122"/>
    <mergeCell ref="G121:I122"/>
    <mergeCell ref="J121:L122"/>
    <mergeCell ref="R100:X100"/>
    <mergeCell ref="R101:X101"/>
    <mergeCell ref="R102:X102"/>
    <mergeCell ref="A94:J98"/>
    <mergeCell ref="J106:L106"/>
    <mergeCell ref="P120:AH139"/>
    <mergeCell ref="U70:X73"/>
    <mergeCell ref="AD70:AH73"/>
    <mergeCell ref="D153:X153"/>
    <mergeCell ref="Z153:AC153"/>
    <mergeCell ref="AE153:AH153"/>
    <mergeCell ref="Z152:AC152"/>
    <mergeCell ref="M121:O122"/>
    <mergeCell ref="A149:AH149"/>
    <mergeCell ref="A187:AH190"/>
    <mergeCell ref="A193:AH195"/>
    <mergeCell ref="P232:T232"/>
    <mergeCell ref="V232:Z232"/>
    <mergeCell ref="AD236:AF236"/>
    <mergeCell ref="J227:O227"/>
    <mergeCell ref="M228:O228"/>
    <mergeCell ref="Q228:S228"/>
    <mergeCell ref="T228:V228"/>
    <mergeCell ref="Q227:V227"/>
    <mergeCell ref="W164:AH167"/>
    <mergeCell ref="I168:O173"/>
    <mergeCell ref="P168:V173"/>
    <mergeCell ref="W168:AH173"/>
    <mergeCell ref="A156:H162"/>
    <mergeCell ref="F182:N182"/>
    <mergeCell ref="P182:T182"/>
    <mergeCell ref="A164:H167"/>
    <mergeCell ref="A163:H163"/>
    <mergeCell ref="I156:O162"/>
    <mergeCell ref="P156:V162"/>
    <mergeCell ref="AE204:AH204"/>
    <mergeCell ref="G202:AC203"/>
    <mergeCell ref="M130:O130"/>
    <mergeCell ref="M129:O129"/>
    <mergeCell ref="G129:I129"/>
    <mergeCell ref="G130:I130"/>
    <mergeCell ref="M128:O128"/>
    <mergeCell ref="G131:I131"/>
    <mergeCell ref="G125:I125"/>
    <mergeCell ref="G126:I126"/>
    <mergeCell ref="G127:I127"/>
    <mergeCell ref="J126:L126"/>
    <mergeCell ref="J128:L128"/>
    <mergeCell ref="M139:O139"/>
    <mergeCell ref="G139:I139"/>
    <mergeCell ref="J139:L139"/>
    <mergeCell ref="B59:G60"/>
    <mergeCell ref="Y61:AC66"/>
    <mergeCell ref="N59:S60"/>
    <mergeCell ref="A35:G35"/>
    <mergeCell ref="H40:U40"/>
    <mergeCell ref="Y49:AB49"/>
    <mergeCell ref="T56:Y56"/>
    <mergeCell ref="S48:X48"/>
    <mergeCell ref="S52:X52"/>
    <mergeCell ref="A49:I58"/>
    <mergeCell ref="V40:AH40"/>
    <mergeCell ref="AD56:AG56"/>
    <mergeCell ref="K50:R56"/>
    <mergeCell ref="AC52:AF52"/>
    <mergeCell ref="A40:G40"/>
    <mergeCell ref="E46:F46"/>
    <mergeCell ref="A46:D46"/>
    <mergeCell ref="Y59:AC60"/>
    <mergeCell ref="U59:X60"/>
    <mergeCell ref="U62:X65"/>
    <mergeCell ref="J130:L130"/>
    <mergeCell ref="Z259:AC259"/>
    <mergeCell ref="X263:AH267"/>
    <mergeCell ref="X271:AH275"/>
    <mergeCell ref="P146:Y146"/>
    <mergeCell ref="F146:O146"/>
    <mergeCell ref="F147:O147"/>
    <mergeCell ref="P147:Y147"/>
    <mergeCell ref="A168:H173"/>
    <mergeCell ref="I163:O163"/>
    <mergeCell ref="P163:V163"/>
    <mergeCell ref="A150:AH151"/>
    <mergeCell ref="Z258:AC258"/>
    <mergeCell ref="K244:N244"/>
    <mergeCell ref="U258:X258"/>
    <mergeCell ref="A258:S259"/>
    <mergeCell ref="U259:X259"/>
    <mergeCell ref="P230:T231"/>
    <mergeCell ref="K242:N242"/>
    <mergeCell ref="A184:E184"/>
    <mergeCell ref="G212:AH212"/>
    <mergeCell ref="J228:L228"/>
    <mergeCell ref="E234:H235"/>
    <mergeCell ref="J232:N232"/>
    <mergeCell ref="A244:E244"/>
    <mergeCell ref="G12:T12"/>
    <mergeCell ref="G13:T13"/>
    <mergeCell ref="A206:AH206"/>
    <mergeCell ref="A219:F219"/>
    <mergeCell ref="G219:AH220"/>
    <mergeCell ref="V13:Z13"/>
    <mergeCell ref="E236:H236"/>
    <mergeCell ref="Z146:AH147"/>
    <mergeCell ref="F145:M145"/>
    <mergeCell ref="O145:X145"/>
    <mergeCell ref="A147:E147"/>
    <mergeCell ref="A146:E146"/>
    <mergeCell ref="AE154:AH154"/>
    <mergeCell ref="V14:Z14"/>
    <mergeCell ref="AA14:AD14"/>
    <mergeCell ref="AE14:AH14"/>
    <mergeCell ref="V181:AH184"/>
    <mergeCell ref="A208:F208"/>
    <mergeCell ref="A212:F212"/>
    <mergeCell ref="G214:AH215"/>
    <mergeCell ref="G210:K210"/>
    <mergeCell ref="M210:V210"/>
    <mergeCell ref="P180:T181"/>
    <mergeCell ref="J230:N231"/>
    <mergeCell ref="M138:O138"/>
    <mergeCell ref="A249:R250"/>
    <mergeCell ref="T247:Y248"/>
    <mergeCell ref="T249:Y250"/>
    <mergeCell ref="AB247:AG248"/>
    <mergeCell ref="W156:AH162"/>
    <mergeCell ref="W163:AH163"/>
    <mergeCell ref="P164:V167"/>
    <mergeCell ref="AE140:AG140"/>
    <mergeCell ref="D154:X154"/>
    <mergeCell ref="F242:I242"/>
    <mergeCell ref="F244:I244"/>
    <mergeCell ref="A242:E242"/>
    <mergeCell ref="E230:H231"/>
    <mergeCell ref="K240:N241"/>
    <mergeCell ref="J234:M235"/>
    <mergeCell ref="AE208:AH208"/>
    <mergeCell ref="T208:AB208"/>
    <mergeCell ref="AC208:AD208"/>
    <mergeCell ref="A214:F215"/>
    <mergeCell ref="O235:AH235"/>
    <mergeCell ref="J236:M236"/>
    <mergeCell ref="G208:O208"/>
    <mergeCell ref="P208:S208"/>
    <mergeCell ref="T266:V267"/>
    <mergeCell ref="P241:AH244"/>
    <mergeCell ref="J129:L129"/>
    <mergeCell ref="A198:V200"/>
    <mergeCell ref="A129:C129"/>
    <mergeCell ref="A130:C130"/>
    <mergeCell ref="G128:I128"/>
    <mergeCell ref="D128:F128"/>
    <mergeCell ref="D129:F129"/>
    <mergeCell ref="D130:F130"/>
    <mergeCell ref="J134:L134"/>
    <mergeCell ref="A174:AH175"/>
    <mergeCell ref="A138:C138"/>
    <mergeCell ref="AE152:AH152"/>
    <mergeCell ref="P184:T184"/>
    <mergeCell ref="F180:N181"/>
    <mergeCell ref="X198:AH200"/>
    <mergeCell ref="F184:N184"/>
    <mergeCell ref="G134:I134"/>
    <mergeCell ref="G135:I135"/>
    <mergeCell ref="J136:L136"/>
    <mergeCell ref="J137:L137"/>
    <mergeCell ref="J138:L138"/>
    <mergeCell ref="G138:I138"/>
    <mergeCell ref="Q254:AH256"/>
    <mergeCell ref="R236:S236"/>
    <mergeCell ref="W236:X236"/>
    <mergeCell ref="T236:V236"/>
    <mergeCell ref="AB236:AC236"/>
    <mergeCell ref="O236:Q236"/>
    <mergeCell ref="AE201:AH203"/>
    <mergeCell ref="E232:H232"/>
    <mergeCell ref="A254:O256"/>
    <mergeCell ref="M217:AH217"/>
    <mergeCell ref="A210:F210"/>
    <mergeCell ref="V230:Z231"/>
    <mergeCell ref="AG236:AH236"/>
    <mergeCell ref="Y236:AA236"/>
    <mergeCell ref="W210:AH210"/>
    <mergeCell ref="AB249:AG250"/>
    <mergeCell ref="A247:R248"/>
    <mergeCell ref="A178:AH178"/>
    <mergeCell ref="A271:S272"/>
    <mergeCell ref="A274:S275"/>
    <mergeCell ref="T271:V272"/>
    <mergeCell ref="T274:V275"/>
    <mergeCell ref="Q263:S264"/>
    <mergeCell ref="T263:V264"/>
    <mergeCell ref="A266:P267"/>
    <mergeCell ref="M127:O127"/>
    <mergeCell ref="D138:F138"/>
    <mergeCell ref="A139:C139"/>
    <mergeCell ref="D139:F139"/>
    <mergeCell ref="A133:C133"/>
    <mergeCell ref="A134:C134"/>
    <mergeCell ref="A135:C135"/>
    <mergeCell ref="D133:F133"/>
    <mergeCell ref="D134:F134"/>
    <mergeCell ref="D135:F135"/>
    <mergeCell ref="A263:P264"/>
    <mergeCell ref="A182:E182"/>
    <mergeCell ref="A224:AH224"/>
    <mergeCell ref="F240:I241"/>
    <mergeCell ref="J133:L133"/>
    <mergeCell ref="Q266:S267"/>
    <mergeCell ref="A1:AH3"/>
    <mergeCell ref="A9:F10"/>
    <mergeCell ref="Z9:AH9"/>
    <mergeCell ref="Z10:AH10"/>
    <mergeCell ref="Z11:AH11"/>
    <mergeCell ref="V9:Y9"/>
    <mergeCell ref="V10:Y10"/>
    <mergeCell ref="V11:Y11"/>
    <mergeCell ref="G9:T10"/>
    <mergeCell ref="A11:F11"/>
    <mergeCell ref="G11:T11"/>
    <mergeCell ref="A5:AH5"/>
    <mergeCell ref="L7:AA7"/>
    <mergeCell ref="G7:K7"/>
    <mergeCell ref="AD102:AG102"/>
    <mergeCell ref="R103:X103"/>
    <mergeCell ref="AC50:AF50"/>
    <mergeCell ref="Y52:AB52"/>
    <mergeCell ref="Y69:AC74"/>
    <mergeCell ref="AD95:AG95"/>
    <mergeCell ref="AD103:AG103"/>
    <mergeCell ref="AD62:AH65"/>
    <mergeCell ref="G46:H46"/>
    <mergeCell ref="Y51:AB51"/>
    <mergeCell ref="AC47:AF47"/>
    <mergeCell ref="Z55:AC55"/>
    <mergeCell ref="AD55:AG55"/>
    <mergeCell ref="Y47:AB47"/>
    <mergeCell ref="Y48:AB48"/>
    <mergeCell ref="AC48:AF48"/>
    <mergeCell ref="Y50:AB50"/>
    <mergeCell ref="Z54:AC54"/>
    <mergeCell ref="AD54:AG54"/>
    <mergeCell ref="T55:Y55"/>
    <mergeCell ref="AC49:AF49"/>
    <mergeCell ref="AC51:AF51"/>
    <mergeCell ref="K46:O46"/>
    <mergeCell ref="I46:J46"/>
    <mergeCell ref="L76:L85"/>
    <mergeCell ref="A76:D77"/>
    <mergeCell ref="S49:X49"/>
    <mergeCell ref="S50:X50"/>
    <mergeCell ref="S51:X51"/>
    <mergeCell ref="A12:F12"/>
    <mergeCell ref="A13:F13"/>
    <mergeCell ref="V15:Z15"/>
    <mergeCell ref="A38:G38"/>
    <mergeCell ref="V38:AH38"/>
    <mergeCell ref="V39:AH39"/>
    <mergeCell ref="AA15:AH15"/>
    <mergeCell ref="AA12:AD12"/>
    <mergeCell ref="AE12:AH12"/>
    <mergeCell ref="AA13:AD13"/>
    <mergeCell ref="AE13:AH13"/>
    <mergeCell ref="V12:Z12"/>
    <mergeCell ref="A34:G34"/>
    <mergeCell ref="I62:L65"/>
    <mergeCell ref="B61:G66"/>
    <mergeCell ref="N61:S66"/>
    <mergeCell ref="A44:AH44"/>
    <mergeCell ref="A61:A66"/>
    <mergeCell ref="AD59:AH60"/>
    <mergeCell ref="F83:J85"/>
    <mergeCell ref="A78:D82"/>
    <mergeCell ref="A69:A74"/>
    <mergeCell ref="B69:G74"/>
    <mergeCell ref="I59:L60"/>
    <mergeCell ref="AD104:AG104"/>
    <mergeCell ref="Y98:AB98"/>
    <mergeCell ref="AD98:AG98"/>
    <mergeCell ref="A102:C104"/>
    <mergeCell ref="F76:J77"/>
    <mergeCell ref="F78:J81"/>
    <mergeCell ref="M76:AH85"/>
    <mergeCell ref="L87:AH89"/>
    <mergeCell ref="Y101:AB101"/>
    <mergeCell ref="R97:AG97"/>
    <mergeCell ref="Y94:AB94"/>
    <mergeCell ref="AD94:AG94"/>
    <mergeCell ref="Y95:AB95"/>
    <mergeCell ref="R99:X99"/>
    <mergeCell ref="AD99:AG99"/>
    <mergeCell ref="AD100:AG100"/>
    <mergeCell ref="Y99:AB99"/>
    <mergeCell ref="N69:S74"/>
    <mergeCell ref="I70:L73"/>
    <mergeCell ref="A83:E85"/>
    <mergeCell ref="M100:O100"/>
    <mergeCell ref="R98:X98"/>
    <mergeCell ref="Y100:AB100"/>
    <mergeCell ref="AD101:AG101"/>
    <mergeCell ref="A136:C136"/>
    <mergeCell ref="A137:C137"/>
    <mergeCell ref="A127:C127"/>
    <mergeCell ref="A128:C128"/>
    <mergeCell ref="A124:C124"/>
    <mergeCell ref="A125:C125"/>
    <mergeCell ref="A126:C126"/>
    <mergeCell ref="D132:F132"/>
    <mergeCell ref="A131:C131"/>
    <mergeCell ref="A132:C132"/>
    <mergeCell ref="D136:F136"/>
    <mergeCell ref="D137:F137"/>
    <mergeCell ref="G132:I132"/>
    <mergeCell ref="J131:L131"/>
    <mergeCell ref="J132:L132"/>
    <mergeCell ref="R105:X105"/>
    <mergeCell ref="R106:X106"/>
    <mergeCell ref="F86:I89"/>
    <mergeCell ref="A86:D89"/>
    <mergeCell ref="G136:I136"/>
    <mergeCell ref="G137:I137"/>
    <mergeCell ref="M133:O133"/>
    <mergeCell ref="M134:O134"/>
    <mergeCell ref="M135:O135"/>
    <mergeCell ref="M136:O136"/>
    <mergeCell ref="M137:O137"/>
    <mergeCell ref="J135:L135"/>
    <mergeCell ref="Y103:AB103"/>
    <mergeCell ref="Y104:AB104"/>
    <mergeCell ref="Y105:AB105"/>
    <mergeCell ref="D102:P104"/>
    <mergeCell ref="R104:X104"/>
    <mergeCell ref="G133:I133"/>
    <mergeCell ref="J125:L125"/>
    <mergeCell ref="J127:L127"/>
    <mergeCell ref="M131:O131"/>
    <mergeCell ref="M132:O132"/>
    <mergeCell ref="M125:O125"/>
    <mergeCell ref="M126:O126"/>
    <mergeCell ref="G124:I124"/>
    <mergeCell ref="D131:F131"/>
    <mergeCell ref="J123:L123"/>
    <mergeCell ref="M123:O123"/>
    <mergeCell ref="AD105:AG105"/>
    <mergeCell ref="D125:F125"/>
    <mergeCell ref="D126:F126"/>
    <mergeCell ref="D127:F127"/>
    <mergeCell ref="D124:F124"/>
    <mergeCell ref="A120:O120"/>
    <mergeCell ref="AD106:AG106"/>
    <mergeCell ref="AD110:AG110"/>
    <mergeCell ref="A111:AH119"/>
    <mergeCell ref="A108:Q110"/>
    <mergeCell ref="R110:X110"/>
    <mergeCell ref="Y109:AB109"/>
    <mergeCell ref="AD109:AG109"/>
    <mergeCell ref="Y108:AB108"/>
    <mergeCell ref="AD108:AG108"/>
    <mergeCell ref="Y106:AB106"/>
    <mergeCell ref="R108:X108"/>
    <mergeCell ref="R109:X109"/>
    <mergeCell ref="Y110:AB110"/>
    <mergeCell ref="A123:C123"/>
    <mergeCell ref="M124:O124"/>
    <mergeCell ref="D123:F123"/>
    <mergeCell ref="J124:L124"/>
  </mergeCells>
  <dataValidations disablePrompts="1" count="1">
    <dataValidation type="list" allowBlank="1" showInputMessage="1" showErrorMessage="1" sqref="AA12 AE12:AE13" xr:uid="{00000000-0002-0000-0000-000000000000}">
      <formula1>Tide</formula1>
    </dataValidation>
  </dataValidations>
  <pageMargins left="0.5" right="0.5" top="0.75" bottom="0.75" header="0.3" footer="0.3"/>
  <pageSetup scale="98" fitToHeight="0" orientation="portrait" r:id="rId1"/>
  <headerFooter differentFirst="1">
    <oddHeader>&amp;C&amp;8
New Hampshire’s Tidal Crossing Assessment Protocol Data Sheet (&amp;"-,Italic"v. 7/17&amp;"-,Regular")</oddHeader>
    <oddFooter>&amp;CPage &amp;P
&amp;7&amp;F
&amp;"/,Regular"&amp;A</oddFooter>
    <firstFooter>&amp;CPage &amp;P
&amp;7&amp;F
&amp;A</firstFooter>
  </headerFooter>
  <rowBreaks count="5" manualBreakCount="5">
    <brk id="42" max="33" man="1"/>
    <brk id="90" max="16383" man="1"/>
    <brk id="141" max="16383" man="1"/>
    <brk id="176" max="33" man="1"/>
    <brk id="222" max="33" man="1"/>
  </rowBreaks>
  <colBreaks count="1" manualBreakCount="1">
    <brk id="3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1" r:id="rId4" name="List Box 57">
              <controlPr defaultSize="0" autoLine="0" autoPict="0">
                <anchor moveWithCells="1">
                  <from>
                    <xdr:col>5</xdr:col>
                    <xdr:colOff>38100</xdr:colOff>
                    <xdr:row>183</xdr:row>
                    <xdr:rowOff>28575</xdr:rowOff>
                  </from>
                  <to>
                    <xdr:col>14</xdr:col>
                    <xdr:colOff>57150</xdr:colOff>
                    <xdr:row>183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" name="List Box 58">
              <controlPr defaultSize="0" autoLine="0" autoPict="0">
                <anchor moveWithCells="1">
                  <from>
                    <xdr:col>5</xdr:col>
                    <xdr:colOff>57150</xdr:colOff>
                    <xdr:row>181</xdr:row>
                    <xdr:rowOff>28575</xdr:rowOff>
                  </from>
                  <to>
                    <xdr:col>14</xdr:col>
                    <xdr:colOff>57150</xdr:colOff>
                    <xdr:row>181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" name="List Box 59">
              <controlPr defaultSize="0" autoLine="0" autoPict="0">
                <anchor moveWithCells="1">
                  <from>
                    <xdr:col>15</xdr:col>
                    <xdr:colOff>38100</xdr:colOff>
                    <xdr:row>181</xdr:row>
                    <xdr:rowOff>28575</xdr:rowOff>
                  </from>
                  <to>
                    <xdr:col>20</xdr:col>
                    <xdr:colOff>0</xdr:colOff>
                    <xdr:row>181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7" name="List Box 60">
              <controlPr defaultSize="0" autoLine="0" autoPict="0">
                <anchor moveWithCells="1">
                  <from>
                    <xdr:col>15</xdr:col>
                    <xdr:colOff>38100</xdr:colOff>
                    <xdr:row>183</xdr:row>
                    <xdr:rowOff>28575</xdr:rowOff>
                  </from>
                  <to>
                    <xdr:col>20</xdr:col>
                    <xdr:colOff>19050</xdr:colOff>
                    <xdr:row>183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List Box 63">
              <controlPr defaultSize="0" autoLine="0" autoPict="0">
                <anchor moveWithCells="1">
                  <from>
                    <xdr:col>15</xdr:col>
                    <xdr:colOff>95250</xdr:colOff>
                    <xdr:row>146</xdr:row>
                    <xdr:rowOff>57150</xdr:rowOff>
                  </from>
                  <to>
                    <xdr:col>22</xdr:col>
                    <xdr:colOff>133350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" name="Check Box 65">
              <controlPr defaultSize="0" autoFill="0" autoLine="0" autoPict="0" altText="Yes">
                <anchor moveWithCells="1">
                  <from>
                    <xdr:col>9</xdr:col>
                    <xdr:colOff>66675</xdr:colOff>
                    <xdr:row>227</xdr:row>
                    <xdr:rowOff>28575</xdr:rowOff>
                  </from>
                  <to>
                    <xdr:col>12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0" name="Check Box 66">
              <controlPr defaultSize="0" autoFill="0" autoLine="0" autoPict="0" altText="">
                <anchor moveWithCells="1">
                  <from>
                    <xdr:col>12</xdr:col>
                    <xdr:colOff>66675</xdr:colOff>
                    <xdr:row>227</xdr:row>
                    <xdr:rowOff>28575</xdr:rowOff>
                  </from>
                  <to>
                    <xdr:col>15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1" name="Check Box 67">
              <controlPr defaultSize="0" autoFill="0" autoLine="0" autoPict="0" altText="Yes">
                <anchor moveWithCells="1">
                  <from>
                    <xdr:col>16</xdr:col>
                    <xdr:colOff>66675</xdr:colOff>
                    <xdr:row>227</xdr:row>
                    <xdr:rowOff>28575</xdr:rowOff>
                  </from>
                  <to>
                    <xdr:col>18</xdr:col>
                    <xdr:colOff>152400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2" name="Check Box 68">
              <controlPr defaultSize="0" autoFill="0" autoLine="0" autoPict="0" altText="">
                <anchor moveWithCells="1">
                  <from>
                    <xdr:col>19</xdr:col>
                    <xdr:colOff>66675</xdr:colOff>
                    <xdr:row>227</xdr:row>
                    <xdr:rowOff>28575</xdr:rowOff>
                  </from>
                  <to>
                    <xdr:col>21</xdr:col>
                    <xdr:colOff>152400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3" name="List Box 74">
              <controlPr defaultSize="0" autoLine="0" autoPict="0">
                <anchor moveWithCells="1">
                  <from>
                    <xdr:col>15</xdr:col>
                    <xdr:colOff>95250</xdr:colOff>
                    <xdr:row>145</xdr:row>
                    <xdr:rowOff>57150</xdr:rowOff>
                  </from>
                  <to>
                    <xdr:col>24</xdr:col>
                    <xdr:colOff>133350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4" name="List Box 75">
              <controlPr defaultSize="0" autoLine="0" autoPict="0">
                <anchor moveWithCells="1">
                  <from>
                    <xdr:col>5</xdr:col>
                    <xdr:colOff>95250</xdr:colOff>
                    <xdr:row>146</xdr:row>
                    <xdr:rowOff>57150</xdr:rowOff>
                  </from>
                  <to>
                    <xdr:col>12</xdr:col>
                    <xdr:colOff>152400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5" name="List Box 78">
              <controlPr defaultSize="0" autoLine="0" autoPict="0">
                <anchor moveWithCells="1">
                  <from>
                    <xdr:col>5</xdr:col>
                    <xdr:colOff>95250</xdr:colOff>
                    <xdr:row>145</xdr:row>
                    <xdr:rowOff>66675</xdr:rowOff>
                  </from>
                  <to>
                    <xdr:col>15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6" name="Check Box 81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262</xdr:row>
                    <xdr:rowOff>28575</xdr:rowOff>
                  </from>
                  <to>
                    <xdr:col>18</xdr:col>
                    <xdr:colOff>133350</xdr:colOff>
                    <xdr:row>263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7" name="Check Box 82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265</xdr:row>
                    <xdr:rowOff>28575</xdr:rowOff>
                  </from>
                  <to>
                    <xdr:col>18</xdr:col>
                    <xdr:colOff>133350</xdr:colOff>
                    <xdr:row>266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8" name="Check Box 83">
              <controlPr defaultSize="0" autoFill="0" autoLine="0" autoPict="0" altText="">
                <anchor moveWithCells="1">
                  <from>
                    <xdr:col>19</xdr:col>
                    <xdr:colOff>104775</xdr:colOff>
                    <xdr:row>262</xdr:row>
                    <xdr:rowOff>28575</xdr:rowOff>
                  </from>
                  <to>
                    <xdr:col>21</xdr:col>
                    <xdr:colOff>133350</xdr:colOff>
                    <xdr:row>263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9" name="Check Box 84">
              <controlPr defaultSize="0" autoFill="0" autoLine="0" autoPict="0" altText="">
                <anchor moveWithCells="1">
                  <from>
                    <xdr:col>19</xdr:col>
                    <xdr:colOff>104775</xdr:colOff>
                    <xdr:row>265</xdr:row>
                    <xdr:rowOff>28575</xdr:rowOff>
                  </from>
                  <to>
                    <xdr:col>21</xdr:col>
                    <xdr:colOff>133350</xdr:colOff>
                    <xdr:row>266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20" name="List Box 86">
              <controlPr defaultSize="0" autoLine="0" autoPict="0">
                <anchor moveWithCells="1">
                  <from>
                    <xdr:col>0</xdr:col>
                    <xdr:colOff>19050</xdr:colOff>
                    <xdr:row>48</xdr:row>
                    <xdr:rowOff>57150</xdr:rowOff>
                  </from>
                  <to>
                    <xdr:col>9</xdr:col>
                    <xdr:colOff>57150</xdr:colOff>
                    <xdr:row>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1" name="List Box 87">
              <controlPr defaultSize="0" autoLine="0" autoPict="0">
                <anchor moveWithCells="1">
                  <from>
                    <xdr:col>10</xdr:col>
                    <xdr:colOff>38100</xdr:colOff>
                    <xdr:row>49</xdr:row>
                    <xdr:rowOff>28575</xdr:rowOff>
                  </from>
                  <to>
                    <xdr:col>17</xdr:col>
                    <xdr:colOff>104775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2" name="List Box 102">
              <controlPr defaultSize="0" autoLine="0" autoPict="0">
                <anchor moveWithCells="1">
                  <from>
                    <xdr:col>1</xdr:col>
                    <xdr:colOff>38100</xdr:colOff>
                    <xdr:row>60</xdr:row>
                    <xdr:rowOff>57150</xdr:rowOff>
                  </from>
                  <to>
                    <xdr:col>6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List Box 108">
              <controlPr defaultSize="0" autoLine="0" autoPict="0">
                <anchor moveWithCells="1">
                  <from>
                    <xdr:col>8</xdr:col>
                    <xdr:colOff>38100</xdr:colOff>
                    <xdr:row>61</xdr:row>
                    <xdr:rowOff>28575</xdr:rowOff>
                  </from>
                  <to>
                    <xdr:col>11</xdr:col>
                    <xdr:colOff>152400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4" name="List Box 111">
              <controlPr defaultSize="0" autoLine="0" autoPict="0">
                <anchor moveWithCells="1">
                  <from>
                    <xdr:col>24</xdr:col>
                    <xdr:colOff>133350</xdr:colOff>
                    <xdr:row>60</xdr:row>
                    <xdr:rowOff>57150</xdr:rowOff>
                  </from>
                  <to>
                    <xdr:col>28</xdr:col>
                    <xdr:colOff>152400</xdr:colOff>
                    <xdr:row>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List Box 129">
              <controlPr defaultSize="0" autoLine="0" autoPict="0">
                <anchor moveWithCells="1">
                  <from>
                    <xdr:col>0</xdr:col>
                    <xdr:colOff>19050</xdr:colOff>
                    <xdr:row>77</xdr:row>
                    <xdr:rowOff>28575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List Box 130">
              <controlPr defaultSize="0" autoLine="0" autoPict="0">
                <anchor moveWithCells="1">
                  <from>
                    <xdr:col>5</xdr:col>
                    <xdr:colOff>133350</xdr:colOff>
                    <xdr:row>77</xdr:row>
                    <xdr:rowOff>28575</xdr:rowOff>
                  </from>
                  <to>
                    <xdr:col>9</xdr:col>
                    <xdr:colOff>66675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List Box 131">
              <controlPr defaultSize="0" autoLine="0" autoPict="0">
                <anchor moveWithCells="1">
                  <from>
                    <xdr:col>29</xdr:col>
                    <xdr:colOff>104775</xdr:colOff>
                    <xdr:row>61</xdr:row>
                    <xdr:rowOff>28575</xdr:rowOff>
                  </from>
                  <to>
                    <xdr:col>33</xdr:col>
                    <xdr:colOff>38100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28" name="List Box 133">
              <controlPr defaultSize="0" autoLine="0" autoPict="0">
                <anchor moveWithCells="1">
                  <from>
                    <xdr:col>13</xdr:col>
                    <xdr:colOff>38100</xdr:colOff>
                    <xdr:row>60</xdr:row>
                    <xdr:rowOff>57150</xdr:rowOff>
                  </from>
                  <to>
                    <xdr:col>18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9" name="List Box 136">
              <controlPr defaultSize="0" autoLine="0" autoPict="0">
                <anchor moveWithCells="1">
                  <from>
                    <xdr:col>5</xdr:col>
                    <xdr:colOff>38100</xdr:colOff>
                    <xdr:row>85</xdr:row>
                    <xdr:rowOff>66675</xdr:rowOff>
                  </from>
                  <to>
                    <xdr:col>8</xdr:col>
                    <xdr:colOff>66675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30" name="List Box 137">
              <controlPr defaultSize="0" autoLine="0" autoPict="0">
                <anchor moveWithCells="1">
                  <from>
                    <xdr:col>0</xdr:col>
                    <xdr:colOff>28575</xdr:colOff>
                    <xdr:row>85</xdr:row>
                    <xdr:rowOff>76200</xdr:rowOff>
                  </from>
                  <to>
                    <xdr:col>3</xdr:col>
                    <xdr:colOff>57150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31" name="List Box 138">
              <controlPr defaultSize="0" autoLine="0" autoPict="0">
                <anchor moveWithCells="1">
                  <from>
                    <xdr:col>20</xdr:col>
                    <xdr:colOff>38100</xdr:colOff>
                    <xdr:row>61</xdr:row>
                    <xdr:rowOff>28575</xdr:rowOff>
                  </from>
                  <to>
                    <xdr:col>23</xdr:col>
                    <xdr:colOff>104775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32" name="List Box 143">
              <controlPr defaultSize="0" autoLine="0" autoPict="0">
                <anchor moveWithCells="1">
                  <from>
                    <xdr:col>1</xdr:col>
                    <xdr:colOff>38100</xdr:colOff>
                    <xdr:row>67</xdr:row>
                    <xdr:rowOff>57150</xdr:rowOff>
                  </from>
                  <to>
                    <xdr:col>6</xdr:col>
                    <xdr:colOff>152400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33" name="List Box 144">
              <controlPr defaultSize="0" autoLine="0" autoPict="0">
                <anchor moveWithCells="1">
                  <from>
                    <xdr:col>8</xdr:col>
                    <xdr:colOff>38100</xdr:colOff>
                    <xdr:row>69</xdr:row>
                    <xdr:rowOff>28575</xdr:rowOff>
                  </from>
                  <to>
                    <xdr:col>11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34" name="List Box 145">
              <controlPr defaultSize="0" autoLine="0" autoPict="0">
                <anchor moveWithCells="1">
                  <from>
                    <xdr:col>24</xdr:col>
                    <xdr:colOff>133350</xdr:colOff>
                    <xdr:row>67</xdr:row>
                    <xdr:rowOff>57150</xdr:rowOff>
                  </from>
                  <to>
                    <xdr:col>28</xdr:col>
                    <xdr:colOff>152400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35" name="List Box 146">
              <controlPr defaultSize="0" autoLine="0" autoPict="0">
                <anchor moveWithCells="1">
                  <from>
                    <xdr:col>29</xdr:col>
                    <xdr:colOff>104775</xdr:colOff>
                    <xdr:row>69</xdr:row>
                    <xdr:rowOff>28575</xdr:rowOff>
                  </from>
                  <to>
                    <xdr:col>33</xdr:col>
                    <xdr:colOff>38100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36" name="List Box 147">
              <controlPr defaultSize="0" autoLine="0" autoPict="0">
                <anchor moveWithCells="1">
                  <from>
                    <xdr:col>13</xdr:col>
                    <xdr:colOff>38100</xdr:colOff>
                    <xdr:row>67</xdr:row>
                    <xdr:rowOff>57150</xdr:rowOff>
                  </from>
                  <to>
                    <xdr:col>18</xdr:col>
                    <xdr:colOff>152400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37" name="List Box 148">
              <controlPr defaultSize="0" autoLine="0" autoPict="0">
                <anchor moveWithCells="1">
                  <from>
                    <xdr:col>20</xdr:col>
                    <xdr:colOff>38100</xdr:colOff>
                    <xdr:row>69</xdr:row>
                    <xdr:rowOff>28575</xdr:rowOff>
                  </from>
                  <to>
                    <xdr:col>23</xdr:col>
                    <xdr:colOff>104775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38" name="Check Box 149">
              <controlPr defaultSize="0" autoFill="0" autoLine="0" autoPict="0">
                <anchor moveWithCells="1">
                  <from>
                    <xdr:col>10</xdr:col>
                    <xdr:colOff>180975</xdr:colOff>
                    <xdr:row>161</xdr:row>
                    <xdr:rowOff>171450</xdr:rowOff>
                  </from>
                  <to>
                    <xdr:col>14</xdr:col>
                    <xdr:colOff>76200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39" name="Check Box 150">
              <controlPr defaultSize="0" autoFill="0" autoLine="0" autoPict="0">
                <anchor moveWithCells="1">
                  <from>
                    <xdr:col>17</xdr:col>
                    <xdr:colOff>133350</xdr:colOff>
                    <xdr:row>161</xdr:row>
                    <xdr:rowOff>171450</xdr:rowOff>
                  </from>
                  <to>
                    <xdr:col>21</xdr:col>
                    <xdr:colOff>38100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40" name="Check Box 151">
              <controlPr defaultSize="0" autoFill="0" autoLine="0" autoPict="0">
                <anchor moveWithCells="1">
                  <from>
                    <xdr:col>27</xdr:col>
                    <xdr:colOff>19050</xdr:colOff>
                    <xdr:row>161</xdr:row>
                    <xdr:rowOff>171450</xdr:rowOff>
                  </from>
                  <to>
                    <xdr:col>30</xdr:col>
                    <xdr:colOff>114300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41" name="Check Box 152">
              <controlPr defaultSize="0" autoFill="0" autoLine="0" autoPict="0">
                <anchor moveWithCells="1">
                  <from>
                    <xdr:col>10</xdr:col>
                    <xdr:colOff>171450</xdr:colOff>
                    <xdr:row>164</xdr:row>
                    <xdr:rowOff>66675</xdr:rowOff>
                  </from>
                  <to>
                    <xdr:col>14</xdr:col>
                    <xdr:colOff>76200</xdr:colOff>
                    <xdr:row>165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42" name="Check Box 153">
              <controlPr defaultSize="0" autoFill="0" autoLine="0" autoPict="0">
                <anchor moveWithCells="1">
                  <from>
                    <xdr:col>17</xdr:col>
                    <xdr:colOff>133350</xdr:colOff>
                    <xdr:row>164</xdr:row>
                    <xdr:rowOff>66675</xdr:rowOff>
                  </from>
                  <to>
                    <xdr:col>21</xdr:col>
                    <xdr:colOff>38100</xdr:colOff>
                    <xdr:row>165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43" name="Check Box 154">
              <controlPr defaultSize="0" autoFill="0" autoLine="0" autoPict="0">
                <anchor moveWithCells="1">
                  <from>
                    <xdr:col>27</xdr:col>
                    <xdr:colOff>19050</xdr:colOff>
                    <xdr:row>164</xdr:row>
                    <xdr:rowOff>66675</xdr:rowOff>
                  </from>
                  <to>
                    <xdr:col>30</xdr:col>
                    <xdr:colOff>114300</xdr:colOff>
                    <xdr:row>165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44" name="Check Box 155">
              <controlPr defaultSize="0" autoFill="0" autoLine="0" autoPict="0">
                <anchor moveWithCells="1">
                  <from>
                    <xdr:col>10</xdr:col>
                    <xdr:colOff>171450</xdr:colOff>
                    <xdr:row>169</xdr:row>
                    <xdr:rowOff>95250</xdr:rowOff>
                  </from>
                  <to>
                    <xdr:col>14</xdr:col>
                    <xdr:colOff>76200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5" name="Check Box 156">
              <controlPr defaultSize="0" autoFill="0" autoLine="0" autoPict="0">
                <anchor moveWithCells="1">
                  <from>
                    <xdr:col>17</xdr:col>
                    <xdr:colOff>133350</xdr:colOff>
                    <xdr:row>169</xdr:row>
                    <xdr:rowOff>95250</xdr:rowOff>
                  </from>
                  <to>
                    <xdr:col>21</xdr:col>
                    <xdr:colOff>38100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6" name="Check Box 157">
              <controlPr defaultSize="0" autoFill="0" autoLine="0" autoPict="0">
                <anchor moveWithCells="1">
                  <from>
                    <xdr:col>27</xdr:col>
                    <xdr:colOff>19050</xdr:colOff>
                    <xdr:row>169</xdr:row>
                    <xdr:rowOff>95250</xdr:rowOff>
                  </from>
                  <to>
                    <xdr:col>30</xdr:col>
                    <xdr:colOff>114300</xdr:colOff>
                    <xdr:row>170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R278"/>
  <sheetViews>
    <sheetView tabSelected="1" view="pageBreakPreview" topLeftCell="A199" zoomScale="90" zoomScaleNormal="85" zoomScaleSheetLayoutView="85" zoomScalePageLayoutView="70" workbookViewId="0">
      <selection activeCell="G124" sqref="G124:I124"/>
    </sheetView>
  </sheetViews>
  <sheetFormatPr defaultColWidth="2.7109375" defaultRowHeight="15" x14ac:dyDescent="0.25"/>
  <cols>
    <col min="1" max="19" width="2.7109375" style="53"/>
    <col min="20" max="20" width="2.7109375" style="53" customWidth="1"/>
    <col min="21" max="69" width="2.7109375" style="53"/>
    <col min="70" max="70" width="10" style="53" bestFit="1" customWidth="1"/>
    <col min="71" max="16384" width="2.7109375" style="53"/>
  </cols>
  <sheetData>
    <row r="1" spans="1:34" ht="14.65" customHeight="1" x14ac:dyDescent="0.25">
      <c r="A1" s="352" t="s">
        <v>280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  <c r="AH1" s="353"/>
    </row>
    <row r="2" spans="1:34" x14ac:dyDescent="0.25">
      <c r="A2" s="353"/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</row>
    <row r="3" spans="1:34" x14ac:dyDescent="0.25">
      <c r="A3" s="353"/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</row>
    <row r="4" spans="1:34" ht="75.75" customHeight="1" thickBot="1" x14ac:dyDescent="0.3">
      <c r="A4" s="118"/>
      <c r="B4" s="118"/>
      <c r="C4" s="118"/>
      <c r="D4" s="752" t="s">
        <v>319</v>
      </c>
      <c r="E4" s="752"/>
      <c r="F4" s="752"/>
      <c r="G4" s="118"/>
      <c r="H4" s="753" t="s">
        <v>320</v>
      </c>
      <c r="I4" s="753"/>
      <c r="J4" s="753"/>
      <c r="K4" s="753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</row>
    <row r="5" spans="1:34" ht="16.5" thickTop="1" thickBot="1" x14ac:dyDescent="0.3">
      <c r="A5" s="378" t="s">
        <v>217</v>
      </c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</row>
    <row r="6" spans="1:34" ht="15.75" thickTop="1" x14ac:dyDescent="0.25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</row>
    <row r="7" spans="1:34" x14ac:dyDescent="0.25">
      <c r="G7" s="748" t="s">
        <v>1</v>
      </c>
      <c r="H7" s="748"/>
      <c r="I7" s="748"/>
      <c r="J7" s="748"/>
      <c r="K7" s="749"/>
      <c r="L7" s="754">
        <v>37</v>
      </c>
      <c r="M7" s="755"/>
      <c r="N7" s="755"/>
      <c r="O7" s="755"/>
      <c r="P7" s="755"/>
      <c r="Q7" s="755"/>
      <c r="R7" s="755"/>
      <c r="S7" s="755"/>
      <c r="T7" s="755"/>
      <c r="U7" s="755"/>
      <c r="V7" s="755"/>
      <c r="W7" s="755"/>
      <c r="X7" s="755"/>
      <c r="Y7" s="755"/>
      <c r="Z7" s="755"/>
      <c r="AA7" s="756"/>
    </row>
    <row r="9" spans="1:34" x14ac:dyDescent="0.25">
      <c r="A9" s="736" t="s">
        <v>0</v>
      </c>
      <c r="B9" s="736"/>
      <c r="C9" s="736"/>
      <c r="D9" s="736"/>
      <c r="E9" s="736"/>
      <c r="F9" s="736"/>
      <c r="G9" s="757" t="s">
        <v>311</v>
      </c>
      <c r="H9" s="758"/>
      <c r="I9" s="758"/>
      <c r="J9" s="758"/>
      <c r="K9" s="758"/>
      <c r="L9" s="758"/>
      <c r="M9" s="758"/>
      <c r="N9" s="758"/>
      <c r="O9" s="758"/>
      <c r="P9" s="758"/>
      <c r="Q9" s="758"/>
      <c r="R9" s="758"/>
      <c r="S9" s="758"/>
      <c r="T9" s="759"/>
      <c r="V9" s="737" t="s">
        <v>2</v>
      </c>
      <c r="W9" s="738"/>
      <c r="X9" s="738"/>
      <c r="Y9" s="739"/>
      <c r="Z9" s="355">
        <v>42978</v>
      </c>
      <c r="AA9" s="356"/>
      <c r="AB9" s="356"/>
      <c r="AC9" s="356"/>
      <c r="AD9" s="356"/>
      <c r="AE9" s="356"/>
      <c r="AF9" s="356"/>
      <c r="AG9" s="356"/>
      <c r="AH9" s="357"/>
    </row>
    <row r="10" spans="1:34" x14ac:dyDescent="0.25">
      <c r="A10" s="736"/>
      <c r="B10" s="736"/>
      <c r="C10" s="736"/>
      <c r="D10" s="736"/>
      <c r="E10" s="736"/>
      <c r="F10" s="736"/>
      <c r="G10" s="760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2"/>
      <c r="V10" s="737" t="s">
        <v>3</v>
      </c>
      <c r="W10" s="738"/>
      <c r="X10" s="738"/>
      <c r="Y10" s="739"/>
      <c r="Z10" s="358">
        <v>0.44791666666666669</v>
      </c>
      <c r="AA10" s="359"/>
      <c r="AB10" s="359"/>
      <c r="AC10" s="359"/>
      <c r="AD10" s="359"/>
      <c r="AE10" s="359"/>
      <c r="AF10" s="359"/>
      <c r="AG10" s="359"/>
      <c r="AH10" s="360"/>
    </row>
    <row r="11" spans="1:34" x14ac:dyDescent="0.25">
      <c r="A11" s="743" t="s">
        <v>169</v>
      </c>
      <c r="B11" s="743"/>
      <c r="C11" s="743"/>
      <c r="D11" s="743"/>
      <c r="E11" s="743"/>
      <c r="F11" s="743"/>
      <c r="G11" s="367" t="s">
        <v>306</v>
      </c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7"/>
      <c r="V11" s="740" t="s">
        <v>4</v>
      </c>
      <c r="W11" s="741"/>
      <c r="X11" s="741"/>
      <c r="Y11" s="742"/>
      <c r="Z11" s="361">
        <v>0.51041666666666663</v>
      </c>
      <c r="AA11" s="362"/>
      <c r="AB11" s="362"/>
      <c r="AC11" s="362"/>
      <c r="AD11" s="362"/>
      <c r="AE11" s="362"/>
      <c r="AF11" s="362"/>
      <c r="AG11" s="362"/>
      <c r="AH11" s="363"/>
    </row>
    <row r="12" spans="1:34" x14ac:dyDescent="0.25">
      <c r="A12" s="744" t="s">
        <v>106</v>
      </c>
      <c r="B12" s="744"/>
      <c r="C12" s="744"/>
      <c r="D12" s="744"/>
      <c r="E12" s="744"/>
      <c r="F12" s="744"/>
      <c r="G12" s="367" t="s">
        <v>307</v>
      </c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7"/>
      <c r="V12" s="313" t="s">
        <v>124</v>
      </c>
      <c r="W12" s="314"/>
      <c r="X12" s="314"/>
      <c r="Y12" s="314"/>
      <c r="Z12" s="315"/>
      <c r="AA12" s="745" t="s">
        <v>90</v>
      </c>
      <c r="AB12" s="746"/>
      <c r="AC12" s="746"/>
      <c r="AD12" s="747"/>
      <c r="AE12" s="745" t="s">
        <v>88</v>
      </c>
      <c r="AF12" s="746"/>
      <c r="AG12" s="746"/>
      <c r="AH12" s="747"/>
    </row>
    <row r="13" spans="1:34" x14ac:dyDescent="0.25">
      <c r="A13" s="744" t="s">
        <v>107</v>
      </c>
      <c r="B13" s="744"/>
      <c r="C13" s="744"/>
      <c r="D13" s="744"/>
      <c r="E13" s="744"/>
      <c r="F13" s="744"/>
      <c r="G13" s="367" t="s">
        <v>308</v>
      </c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7"/>
      <c r="V13" s="493" t="s">
        <v>125</v>
      </c>
      <c r="W13" s="494"/>
      <c r="X13" s="494"/>
      <c r="Y13" s="494"/>
      <c r="Z13" s="495"/>
      <c r="AA13" s="633">
        <v>0.30416666666666664</v>
      </c>
      <c r="AB13" s="308"/>
      <c r="AC13" s="308"/>
      <c r="AD13" s="309"/>
      <c r="AE13" s="634">
        <v>0.53333333333333333</v>
      </c>
      <c r="AF13" s="311"/>
      <c r="AG13" s="311"/>
      <c r="AH13" s="312"/>
    </row>
    <row r="14" spans="1:34" x14ac:dyDescent="0.25">
      <c r="V14" s="503" t="s">
        <v>126</v>
      </c>
      <c r="W14" s="504"/>
      <c r="X14" s="504"/>
      <c r="Y14" s="504"/>
      <c r="Z14" s="505"/>
      <c r="AA14" s="506">
        <v>2.15</v>
      </c>
      <c r="AB14" s="507"/>
      <c r="AC14" s="507"/>
      <c r="AD14" s="508"/>
      <c r="AE14" s="506">
        <v>0.76</v>
      </c>
      <c r="AF14" s="507"/>
      <c r="AG14" s="507"/>
      <c r="AH14" s="508"/>
    </row>
    <row r="15" spans="1:34" x14ac:dyDescent="0.25"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292" t="s">
        <v>127</v>
      </c>
      <c r="W15" s="293"/>
      <c r="X15" s="293"/>
      <c r="Y15" s="293"/>
      <c r="Z15" s="294"/>
      <c r="AA15" s="301" t="s">
        <v>310</v>
      </c>
      <c r="AB15" s="302"/>
      <c r="AC15" s="302"/>
      <c r="AD15" s="302"/>
      <c r="AE15" s="302"/>
      <c r="AF15" s="302"/>
      <c r="AG15" s="302"/>
      <c r="AH15" s="303"/>
    </row>
    <row r="16" spans="1:34" x14ac:dyDescent="0.25">
      <c r="A16" s="119" t="s">
        <v>202</v>
      </c>
      <c r="B16" s="5"/>
      <c r="C16" s="5"/>
      <c r="D16" s="5"/>
      <c r="E16" s="5"/>
      <c r="F16" s="5"/>
      <c r="G16" s="5"/>
      <c r="H16" s="5"/>
      <c r="I16" s="5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</row>
    <row r="17" spans="1:34" ht="15" customHeight="1" x14ac:dyDescent="0.25">
      <c r="A17" s="236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8"/>
    </row>
    <row r="18" spans="1:34" ht="15" customHeight="1" x14ac:dyDescent="0.25">
      <c r="A18" s="239"/>
      <c r="B18" s="240"/>
      <c r="C18" s="240"/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1"/>
    </row>
    <row r="19" spans="1:34" ht="15" customHeight="1" x14ac:dyDescent="0.25">
      <c r="A19" s="239"/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1"/>
    </row>
    <row r="20" spans="1:34" ht="15" customHeight="1" x14ac:dyDescent="0.25">
      <c r="A20" s="239"/>
      <c r="B20" s="240"/>
      <c r="C20" s="240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1"/>
    </row>
    <row r="21" spans="1:34" ht="15" customHeight="1" x14ac:dyDescent="0.25">
      <c r="A21" s="239"/>
      <c r="B21" s="240"/>
      <c r="C21" s="240"/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AG21" s="240"/>
      <c r="AH21" s="241"/>
    </row>
    <row r="22" spans="1:34" ht="15" customHeight="1" x14ac:dyDescent="0.25">
      <c r="A22" s="239"/>
      <c r="B22" s="240"/>
      <c r="C22" s="240"/>
      <c r="D22" s="240"/>
      <c r="E22" s="240"/>
      <c r="F22" s="240"/>
      <c r="G22" s="240"/>
      <c r="H22" s="240"/>
      <c r="I22" s="240"/>
      <c r="J22" s="240"/>
      <c r="K22" s="240"/>
      <c r="L22" s="240"/>
      <c r="M22" s="240"/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1"/>
    </row>
    <row r="23" spans="1:34" ht="15" customHeight="1" x14ac:dyDescent="0.25">
      <c r="A23" s="239"/>
      <c r="B23" s="240"/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1"/>
    </row>
    <row r="24" spans="1:34" ht="15" customHeight="1" x14ac:dyDescent="0.25">
      <c r="A24" s="239"/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/>
      <c r="AG24" s="240"/>
      <c r="AH24" s="241"/>
    </row>
    <row r="25" spans="1:34" ht="15" customHeight="1" x14ac:dyDescent="0.25">
      <c r="A25" s="239"/>
      <c r="B25" s="240"/>
      <c r="C25" s="240"/>
      <c r="D25" s="240"/>
      <c r="E25" s="240"/>
      <c r="F25" s="240"/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/>
      <c r="T25" s="240"/>
      <c r="U25" s="240"/>
      <c r="V25" s="240"/>
      <c r="W25" s="240"/>
      <c r="X25" s="240"/>
      <c r="Y25" s="240"/>
      <c r="Z25" s="240"/>
      <c r="AA25" s="240"/>
      <c r="AB25" s="240"/>
      <c r="AC25" s="240"/>
      <c r="AD25" s="240"/>
      <c r="AE25" s="240"/>
      <c r="AF25" s="240"/>
      <c r="AG25" s="240"/>
      <c r="AH25" s="241"/>
    </row>
    <row r="26" spans="1:34" ht="15" customHeight="1" x14ac:dyDescent="0.25">
      <c r="A26" s="239"/>
      <c r="B26" s="240"/>
      <c r="C26" s="240"/>
      <c r="D26" s="240"/>
      <c r="E26" s="240"/>
      <c r="F26" s="240"/>
      <c r="G26" s="240"/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/>
      <c r="T26" s="240"/>
      <c r="U26" s="240"/>
      <c r="V26" s="240"/>
      <c r="W26" s="240"/>
      <c r="X26" s="240"/>
      <c r="Y26" s="240"/>
      <c r="Z26" s="240"/>
      <c r="AA26" s="240"/>
      <c r="AB26" s="240"/>
      <c r="AC26" s="240"/>
      <c r="AD26" s="240"/>
      <c r="AE26" s="240"/>
      <c r="AF26" s="240"/>
      <c r="AG26" s="240"/>
      <c r="AH26" s="241"/>
    </row>
    <row r="27" spans="1:34" ht="15" customHeight="1" x14ac:dyDescent="0.25">
      <c r="A27" s="463"/>
      <c r="B27" s="464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4"/>
      <c r="N27" s="464"/>
      <c r="O27" s="464"/>
      <c r="P27" s="464"/>
      <c r="Q27" s="464"/>
      <c r="R27" s="464"/>
      <c r="S27" s="464"/>
      <c r="T27" s="464"/>
      <c r="U27" s="464"/>
      <c r="V27" s="464"/>
      <c r="W27" s="464"/>
      <c r="X27" s="464"/>
      <c r="Y27" s="464"/>
      <c r="Z27" s="464"/>
      <c r="AA27" s="464"/>
      <c r="AB27" s="464"/>
      <c r="AC27" s="464"/>
      <c r="AD27" s="464"/>
      <c r="AE27" s="464"/>
      <c r="AF27" s="464"/>
      <c r="AG27" s="464"/>
      <c r="AH27" s="465"/>
    </row>
    <row r="28" spans="1:34" ht="15" customHeight="1" thickBot="1" x14ac:dyDescent="0.3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</row>
    <row r="29" spans="1:34" ht="16.5" thickTop="1" thickBot="1" x14ac:dyDescent="0.3">
      <c r="A29" s="378" t="s">
        <v>218</v>
      </c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  <c r="AA29" s="378"/>
      <c r="AB29" s="378"/>
      <c r="AC29" s="378"/>
      <c r="AD29" s="378"/>
      <c r="AE29" s="378"/>
      <c r="AF29" s="378"/>
      <c r="AG29" s="378"/>
      <c r="AH29" s="378"/>
    </row>
    <row r="30" spans="1:34" ht="15.75" thickTop="1" x14ac:dyDescent="0.25">
      <c r="A30" s="114" t="s">
        <v>168</v>
      </c>
      <c r="V30" s="115" t="s">
        <v>197</v>
      </c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 x14ac:dyDescent="0.25">
      <c r="A31" s="295" t="s">
        <v>313</v>
      </c>
      <c r="B31" s="296"/>
      <c r="C31" s="296"/>
      <c r="D31" s="296"/>
      <c r="E31" s="296"/>
      <c r="F31" s="296"/>
      <c r="G31" s="297"/>
      <c r="H31" s="559" t="s">
        <v>272</v>
      </c>
      <c r="I31" s="559"/>
      <c r="J31" s="559"/>
      <c r="K31" s="559"/>
      <c r="L31" s="559"/>
      <c r="M31" s="559"/>
      <c r="N31" s="559"/>
      <c r="O31" s="559"/>
      <c r="P31" s="559"/>
      <c r="Q31" s="559"/>
      <c r="R31" s="559"/>
      <c r="S31" s="559"/>
      <c r="T31" s="559"/>
      <c r="U31" s="559"/>
      <c r="V31" s="298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300"/>
    </row>
    <row r="32" spans="1:34" x14ac:dyDescent="0.25">
      <c r="A32" s="295" t="s">
        <v>314</v>
      </c>
      <c r="B32" s="296"/>
      <c r="C32" s="296"/>
      <c r="D32" s="296"/>
      <c r="E32" s="296"/>
      <c r="F32" s="296"/>
      <c r="G32" s="297"/>
      <c r="H32" s="559" t="s">
        <v>128</v>
      </c>
      <c r="I32" s="559"/>
      <c r="J32" s="559"/>
      <c r="K32" s="559"/>
      <c r="L32" s="559"/>
      <c r="M32" s="559"/>
      <c r="N32" s="559"/>
      <c r="O32" s="559"/>
      <c r="P32" s="559"/>
      <c r="Q32" s="559"/>
      <c r="R32" s="559"/>
      <c r="S32" s="559"/>
      <c r="T32" s="559"/>
      <c r="U32" s="559"/>
      <c r="V32" s="298"/>
      <c r="W32" s="299"/>
      <c r="X32" s="299"/>
      <c r="Y32" s="299"/>
      <c r="Z32" s="299"/>
      <c r="AA32" s="299"/>
      <c r="AB32" s="299"/>
      <c r="AC32" s="299"/>
      <c r="AD32" s="299"/>
      <c r="AE32" s="299"/>
      <c r="AF32" s="299"/>
      <c r="AG32" s="299"/>
      <c r="AH32" s="300"/>
    </row>
    <row r="33" spans="1:34" x14ac:dyDescent="0.25">
      <c r="A33" s="295" t="s">
        <v>315</v>
      </c>
      <c r="B33" s="296"/>
      <c r="C33" s="296"/>
      <c r="D33" s="296"/>
      <c r="E33" s="296"/>
      <c r="F33" s="296"/>
      <c r="G33" s="297"/>
      <c r="H33" s="559" t="s">
        <v>129</v>
      </c>
      <c r="I33" s="559"/>
      <c r="J33" s="559"/>
      <c r="K33" s="559"/>
      <c r="L33" s="559"/>
      <c r="M33" s="559"/>
      <c r="N33" s="559"/>
      <c r="O33" s="559"/>
      <c r="P33" s="559"/>
      <c r="Q33" s="559"/>
      <c r="R33" s="559"/>
      <c r="S33" s="559"/>
      <c r="T33" s="559"/>
      <c r="U33" s="559"/>
      <c r="V33" s="298"/>
      <c r="W33" s="299"/>
      <c r="X33" s="299"/>
      <c r="Y33" s="299"/>
      <c r="Z33" s="299"/>
      <c r="AA33" s="299"/>
      <c r="AB33" s="299"/>
      <c r="AC33" s="299"/>
      <c r="AD33" s="299"/>
      <c r="AE33" s="299"/>
      <c r="AF33" s="299"/>
      <c r="AG33" s="299"/>
      <c r="AH33" s="300"/>
    </row>
    <row r="34" spans="1:34" x14ac:dyDescent="0.25">
      <c r="A34" s="295" t="s">
        <v>316</v>
      </c>
      <c r="B34" s="296"/>
      <c r="C34" s="296"/>
      <c r="D34" s="296"/>
      <c r="E34" s="296"/>
      <c r="F34" s="296"/>
      <c r="G34" s="297"/>
      <c r="H34" s="559" t="s">
        <v>130</v>
      </c>
      <c r="I34" s="559"/>
      <c r="J34" s="559"/>
      <c r="K34" s="559"/>
      <c r="L34" s="559"/>
      <c r="M34" s="559"/>
      <c r="N34" s="559"/>
      <c r="O34" s="559"/>
      <c r="P34" s="559"/>
      <c r="Q34" s="559"/>
      <c r="R34" s="559"/>
      <c r="S34" s="559"/>
      <c r="T34" s="559"/>
      <c r="U34" s="559"/>
      <c r="V34" s="298"/>
      <c r="W34" s="299"/>
      <c r="X34" s="299"/>
      <c r="Y34" s="299"/>
      <c r="Z34" s="299"/>
      <c r="AA34" s="299"/>
      <c r="AB34" s="299"/>
      <c r="AC34" s="299"/>
      <c r="AD34" s="299"/>
      <c r="AE34" s="299"/>
      <c r="AF34" s="299"/>
      <c r="AG34" s="299"/>
      <c r="AH34" s="300"/>
    </row>
    <row r="35" spans="1:34" x14ac:dyDescent="0.25">
      <c r="A35" s="295"/>
      <c r="B35" s="556"/>
      <c r="C35" s="556"/>
      <c r="D35" s="556"/>
      <c r="E35" s="556"/>
      <c r="F35" s="556"/>
      <c r="G35" s="557"/>
      <c r="H35" s="558" t="s">
        <v>312</v>
      </c>
      <c r="I35" s="559"/>
      <c r="J35" s="559"/>
      <c r="K35" s="559"/>
      <c r="L35" s="559"/>
      <c r="M35" s="559"/>
      <c r="N35" s="559"/>
      <c r="O35" s="559"/>
      <c r="P35" s="559"/>
      <c r="Q35" s="559"/>
      <c r="R35" s="559"/>
      <c r="S35" s="559"/>
      <c r="T35" s="559"/>
      <c r="U35" s="559"/>
      <c r="V35" s="298"/>
      <c r="W35" s="299"/>
      <c r="X35" s="299"/>
      <c r="Y35" s="299"/>
      <c r="Z35" s="299"/>
      <c r="AA35" s="299"/>
      <c r="AB35" s="299"/>
      <c r="AC35" s="299"/>
      <c r="AD35" s="299"/>
      <c r="AE35" s="299"/>
      <c r="AF35" s="299"/>
      <c r="AG35" s="299"/>
      <c r="AH35" s="300"/>
    </row>
    <row r="36" spans="1:34" x14ac:dyDescent="0.25">
      <c r="A36" s="295"/>
      <c r="B36" s="296"/>
      <c r="C36" s="296"/>
      <c r="D36" s="296"/>
      <c r="E36" s="296"/>
      <c r="F36" s="296"/>
      <c r="G36" s="297"/>
      <c r="H36" s="558" t="s">
        <v>196</v>
      </c>
      <c r="I36" s="559"/>
      <c r="J36" s="559"/>
      <c r="K36" s="559"/>
      <c r="L36" s="559"/>
      <c r="M36" s="559"/>
      <c r="N36" s="559"/>
      <c r="O36" s="559"/>
      <c r="P36" s="559"/>
      <c r="Q36" s="559"/>
      <c r="R36" s="559"/>
      <c r="S36" s="559"/>
      <c r="T36" s="559"/>
      <c r="U36" s="559"/>
      <c r="V36" s="298"/>
      <c r="W36" s="299"/>
      <c r="X36" s="299"/>
      <c r="Y36" s="299"/>
      <c r="Z36" s="299"/>
      <c r="AA36" s="299"/>
      <c r="AB36" s="299"/>
      <c r="AC36" s="299"/>
      <c r="AD36" s="299"/>
      <c r="AE36" s="299"/>
      <c r="AF36" s="299"/>
      <c r="AG36" s="299"/>
      <c r="AH36" s="300"/>
    </row>
    <row r="37" spans="1:34" x14ac:dyDescent="0.25">
      <c r="A37" s="295" t="s">
        <v>114</v>
      </c>
      <c r="B37" s="296"/>
      <c r="C37" s="296"/>
      <c r="D37" s="296"/>
      <c r="E37" s="296"/>
      <c r="F37" s="296"/>
      <c r="G37" s="297"/>
      <c r="H37" s="558" t="s">
        <v>196</v>
      </c>
      <c r="I37" s="559"/>
      <c r="J37" s="559"/>
      <c r="K37" s="559"/>
      <c r="L37" s="559"/>
      <c r="M37" s="559"/>
      <c r="N37" s="559"/>
      <c r="O37" s="559"/>
      <c r="P37" s="559"/>
      <c r="Q37" s="559"/>
      <c r="R37" s="559"/>
      <c r="S37" s="559"/>
      <c r="T37" s="559"/>
      <c r="U37" s="559"/>
      <c r="V37" s="298"/>
      <c r="W37" s="299"/>
      <c r="X37" s="299"/>
      <c r="Y37" s="299"/>
      <c r="Z37" s="299"/>
      <c r="AA37" s="299"/>
      <c r="AB37" s="299"/>
      <c r="AC37" s="299"/>
      <c r="AD37" s="299"/>
      <c r="AE37" s="299"/>
      <c r="AF37" s="299"/>
      <c r="AG37" s="299"/>
      <c r="AH37" s="300"/>
    </row>
    <row r="38" spans="1:34" x14ac:dyDescent="0.25">
      <c r="A38" s="295" t="s">
        <v>114</v>
      </c>
      <c r="B38" s="296"/>
      <c r="C38" s="296"/>
      <c r="D38" s="296"/>
      <c r="E38" s="296"/>
      <c r="F38" s="296"/>
      <c r="G38" s="297"/>
      <c r="H38" s="558" t="s">
        <v>196</v>
      </c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59"/>
      <c r="V38" s="298"/>
      <c r="W38" s="299"/>
      <c r="X38" s="299"/>
      <c r="Y38" s="299"/>
      <c r="Z38" s="299"/>
      <c r="AA38" s="299"/>
      <c r="AB38" s="299"/>
      <c r="AC38" s="299"/>
      <c r="AD38" s="299"/>
      <c r="AE38" s="299"/>
      <c r="AF38" s="299"/>
      <c r="AG38" s="299"/>
      <c r="AH38" s="300"/>
    </row>
    <row r="39" spans="1:34" x14ac:dyDescent="0.25">
      <c r="A39" s="295" t="s">
        <v>114</v>
      </c>
      <c r="B39" s="296"/>
      <c r="C39" s="296"/>
      <c r="D39" s="296"/>
      <c r="E39" s="296"/>
      <c r="F39" s="296"/>
      <c r="G39" s="297"/>
      <c r="H39" s="558" t="s">
        <v>196</v>
      </c>
      <c r="I39" s="559"/>
      <c r="J39" s="559"/>
      <c r="K39" s="559"/>
      <c r="L39" s="559"/>
      <c r="M39" s="559"/>
      <c r="N39" s="559"/>
      <c r="O39" s="559"/>
      <c r="P39" s="559"/>
      <c r="Q39" s="559"/>
      <c r="R39" s="559"/>
      <c r="S39" s="559"/>
      <c r="T39" s="559"/>
      <c r="U39" s="559"/>
      <c r="V39" s="298"/>
      <c r="W39" s="299"/>
      <c r="X39" s="299"/>
      <c r="Y39" s="299"/>
      <c r="Z39" s="299"/>
      <c r="AA39" s="299"/>
      <c r="AB39" s="299"/>
      <c r="AC39" s="299"/>
      <c r="AD39" s="299"/>
      <c r="AE39" s="299"/>
      <c r="AF39" s="299"/>
      <c r="AG39" s="299"/>
      <c r="AH39" s="300"/>
    </row>
    <row r="40" spans="1:34" x14ac:dyDescent="0.25">
      <c r="A40" s="565"/>
      <c r="B40" s="559"/>
      <c r="C40" s="559"/>
      <c r="D40" s="559"/>
      <c r="E40" s="559"/>
      <c r="F40" s="559"/>
      <c r="G40" s="559"/>
      <c r="H40" s="558" t="s">
        <v>196</v>
      </c>
      <c r="I40" s="559"/>
      <c r="J40" s="559"/>
      <c r="K40" s="559"/>
      <c r="L40" s="559"/>
      <c r="M40" s="559"/>
      <c r="N40" s="559"/>
      <c r="O40" s="559"/>
      <c r="P40" s="559"/>
      <c r="Q40" s="559"/>
      <c r="R40" s="559"/>
      <c r="S40" s="559"/>
      <c r="T40" s="559"/>
      <c r="U40" s="559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  <c r="AF40" s="561"/>
      <c r="AG40" s="561"/>
      <c r="AH40" s="561"/>
    </row>
    <row r="41" spans="1:34" ht="15" customHeight="1" x14ac:dyDescent="0.25">
      <c r="A41" s="100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</row>
    <row r="42" spans="1:34" ht="6" customHeight="1" x14ac:dyDescent="0.25">
      <c r="A42" s="123"/>
      <c r="B42" s="123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6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</row>
    <row r="43" spans="1:34" ht="6" customHeight="1" thickBot="1" x14ac:dyDescent="0.3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</row>
    <row r="44" spans="1:34" ht="15" customHeight="1" thickTop="1" thickBot="1" x14ac:dyDescent="0.3">
      <c r="A44" s="318" t="s">
        <v>219</v>
      </c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8"/>
      <c r="Y44" s="318"/>
      <c r="Z44" s="318"/>
      <c r="AA44" s="318"/>
      <c r="AB44" s="318"/>
      <c r="AC44" s="318"/>
      <c r="AD44" s="318"/>
      <c r="AE44" s="318"/>
      <c r="AF44" s="318"/>
      <c r="AG44" s="318"/>
      <c r="AH44" s="318"/>
    </row>
    <row r="45" spans="1:34" ht="6" customHeight="1" thickTop="1" x14ac:dyDescent="0.25">
      <c r="A45" s="123"/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6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</row>
    <row r="46" spans="1:34" ht="15" customHeight="1" x14ac:dyDescent="0.25">
      <c r="A46" s="750" t="s">
        <v>113</v>
      </c>
      <c r="B46" s="750"/>
      <c r="C46" s="750"/>
      <c r="D46" s="751"/>
      <c r="E46" s="350">
        <v>1</v>
      </c>
      <c r="F46" s="351"/>
      <c r="G46" s="329" t="s">
        <v>112</v>
      </c>
      <c r="H46" s="330"/>
      <c r="I46" s="350">
        <v>1</v>
      </c>
      <c r="J46" s="351"/>
      <c r="K46" s="348" t="s">
        <v>115</v>
      </c>
      <c r="L46" s="349"/>
      <c r="M46" s="349"/>
      <c r="N46" s="349"/>
      <c r="O46" s="349"/>
      <c r="S46" s="6"/>
      <c r="T46" s="128" t="s">
        <v>85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4" ht="15" customHeight="1" thickBot="1" x14ac:dyDescent="0.3">
      <c r="S47" s="43"/>
      <c r="T47" s="35"/>
      <c r="U47" s="35"/>
      <c r="V47" s="35"/>
      <c r="W47" s="35"/>
      <c r="X47" s="35"/>
      <c r="Y47" s="337" t="s">
        <v>11</v>
      </c>
      <c r="Z47" s="337"/>
      <c r="AA47" s="337"/>
      <c r="AB47" s="337"/>
      <c r="AC47" s="334" t="s">
        <v>12</v>
      </c>
      <c r="AD47" s="334"/>
      <c r="AE47" s="334"/>
      <c r="AF47" s="334"/>
    </row>
    <row r="48" spans="1:34" ht="15" customHeight="1" x14ac:dyDescent="0.25">
      <c r="A48" s="763" t="s">
        <v>63</v>
      </c>
      <c r="B48" s="123"/>
      <c r="C48" s="123"/>
      <c r="D48" s="123"/>
      <c r="E48" s="123"/>
      <c r="F48" s="123"/>
      <c r="G48" s="123"/>
      <c r="H48" s="123"/>
      <c r="I48" s="123"/>
      <c r="J48" s="123"/>
      <c r="S48" s="289" t="s">
        <v>82</v>
      </c>
      <c r="T48" s="289"/>
      <c r="U48" s="289"/>
      <c r="V48" s="289"/>
      <c r="W48" s="289"/>
      <c r="X48" s="290"/>
      <c r="Y48" s="764">
        <v>0.7</v>
      </c>
      <c r="Z48" s="765"/>
      <c r="AA48" s="765"/>
      <c r="AB48" s="766"/>
      <c r="AC48" s="767">
        <v>2</v>
      </c>
      <c r="AD48" s="765"/>
      <c r="AE48" s="765"/>
      <c r="AF48" s="768"/>
    </row>
    <row r="49" spans="1:43" ht="15" customHeight="1" x14ac:dyDescent="0.25">
      <c r="A49" s="560">
        <v>5</v>
      </c>
      <c r="B49" s="560"/>
      <c r="C49" s="560"/>
      <c r="D49" s="560"/>
      <c r="E49" s="560"/>
      <c r="F49" s="560"/>
      <c r="G49" s="560"/>
      <c r="H49" s="560"/>
      <c r="I49" s="560"/>
      <c r="J49" s="123"/>
      <c r="K49" s="763" t="s">
        <v>72</v>
      </c>
      <c r="L49" s="123"/>
      <c r="M49" s="123"/>
      <c r="N49" s="123"/>
      <c r="O49" s="123"/>
      <c r="P49" s="123"/>
      <c r="Q49" s="123"/>
      <c r="R49" s="123"/>
      <c r="S49" s="289" t="s">
        <v>200</v>
      </c>
      <c r="T49" s="289"/>
      <c r="U49" s="289"/>
      <c r="V49" s="289"/>
      <c r="W49" s="289"/>
      <c r="X49" s="290"/>
      <c r="Y49" s="769">
        <v>1.1000000000000001</v>
      </c>
      <c r="Z49" s="770"/>
      <c r="AA49" s="770"/>
      <c r="AB49" s="771"/>
      <c r="AC49" s="772">
        <v>1.45</v>
      </c>
      <c r="AD49" s="770"/>
      <c r="AE49" s="770"/>
      <c r="AF49" s="773"/>
    </row>
    <row r="50" spans="1:43" ht="15" customHeight="1" x14ac:dyDescent="0.25">
      <c r="A50" s="560"/>
      <c r="B50" s="560"/>
      <c r="C50" s="560"/>
      <c r="D50" s="560"/>
      <c r="E50" s="560"/>
      <c r="F50" s="560"/>
      <c r="G50" s="560"/>
      <c r="H50" s="560"/>
      <c r="I50" s="560"/>
      <c r="J50" s="123"/>
      <c r="K50" s="560">
        <v>7</v>
      </c>
      <c r="L50" s="560"/>
      <c r="M50" s="560"/>
      <c r="N50" s="560"/>
      <c r="O50" s="560"/>
      <c r="P50" s="560"/>
      <c r="Q50" s="560"/>
      <c r="R50" s="560"/>
      <c r="S50" s="289" t="s">
        <v>201</v>
      </c>
      <c r="T50" s="289"/>
      <c r="U50" s="289"/>
      <c r="V50" s="289"/>
      <c r="W50" s="289"/>
      <c r="X50" s="290"/>
      <c r="Y50" s="769">
        <v>0.7</v>
      </c>
      <c r="Z50" s="770"/>
      <c r="AA50" s="770"/>
      <c r="AB50" s="771"/>
      <c r="AC50" s="772">
        <v>0.9</v>
      </c>
      <c r="AD50" s="770"/>
      <c r="AE50" s="770"/>
      <c r="AF50" s="773"/>
    </row>
    <row r="51" spans="1:43" ht="15" customHeight="1" x14ac:dyDescent="0.25">
      <c r="A51" s="560"/>
      <c r="B51" s="560"/>
      <c r="C51" s="560"/>
      <c r="D51" s="560"/>
      <c r="E51" s="560"/>
      <c r="F51" s="560"/>
      <c r="G51" s="560"/>
      <c r="H51" s="560"/>
      <c r="I51" s="560"/>
      <c r="J51" s="123"/>
      <c r="K51" s="560"/>
      <c r="L51" s="560"/>
      <c r="M51" s="560"/>
      <c r="N51" s="560"/>
      <c r="O51" s="560"/>
      <c r="P51" s="560"/>
      <c r="Q51" s="560"/>
      <c r="R51" s="560"/>
      <c r="S51" s="289" t="s">
        <v>83</v>
      </c>
      <c r="T51" s="289"/>
      <c r="U51" s="289"/>
      <c r="V51" s="289"/>
      <c r="W51" s="289"/>
      <c r="X51" s="290"/>
      <c r="Y51" s="769"/>
      <c r="Z51" s="770"/>
      <c r="AA51" s="770"/>
      <c r="AB51" s="771"/>
      <c r="AC51" s="772"/>
      <c r="AD51" s="770"/>
      <c r="AE51" s="770"/>
      <c r="AF51" s="773"/>
    </row>
    <row r="52" spans="1:43" ht="15" customHeight="1" thickBot="1" x14ac:dyDescent="0.3">
      <c r="A52" s="560"/>
      <c r="B52" s="560"/>
      <c r="C52" s="560"/>
      <c r="D52" s="560"/>
      <c r="E52" s="560"/>
      <c r="F52" s="560"/>
      <c r="G52" s="560"/>
      <c r="H52" s="560"/>
      <c r="I52" s="560"/>
      <c r="J52" s="123"/>
      <c r="K52" s="560"/>
      <c r="L52" s="560"/>
      <c r="M52" s="560"/>
      <c r="N52" s="560"/>
      <c r="O52" s="560"/>
      <c r="P52" s="560"/>
      <c r="Q52" s="560"/>
      <c r="R52" s="560"/>
      <c r="S52" s="289" t="s">
        <v>84</v>
      </c>
      <c r="T52" s="289"/>
      <c r="U52" s="289"/>
      <c r="V52" s="289"/>
      <c r="W52" s="289"/>
      <c r="X52" s="290"/>
      <c r="Y52" s="774"/>
      <c r="Z52" s="775"/>
      <c r="AA52" s="775"/>
      <c r="AB52" s="776"/>
      <c r="AC52" s="777"/>
      <c r="AD52" s="775"/>
      <c r="AE52" s="775"/>
      <c r="AF52" s="778"/>
    </row>
    <row r="53" spans="1:43" ht="15" customHeight="1" x14ac:dyDescent="0.25">
      <c r="A53" s="560"/>
      <c r="B53" s="560"/>
      <c r="C53" s="560"/>
      <c r="D53" s="560"/>
      <c r="E53" s="560"/>
      <c r="F53" s="560"/>
      <c r="G53" s="560"/>
      <c r="H53" s="560"/>
      <c r="I53" s="560"/>
      <c r="J53" s="123"/>
      <c r="K53" s="560"/>
      <c r="L53" s="560"/>
      <c r="M53" s="560"/>
      <c r="N53" s="560"/>
      <c r="O53" s="560"/>
      <c r="P53" s="560"/>
      <c r="Q53" s="560"/>
      <c r="R53" s="560"/>
      <c r="S53" s="43"/>
      <c r="AM53" s="67"/>
      <c r="AN53" s="67"/>
      <c r="AO53" s="67"/>
      <c r="AP53" s="67"/>
      <c r="AQ53" s="67"/>
    </row>
    <row r="54" spans="1:43" ht="15" customHeight="1" x14ac:dyDescent="0.25">
      <c r="A54" s="560"/>
      <c r="B54" s="560"/>
      <c r="C54" s="560"/>
      <c r="D54" s="560"/>
      <c r="E54" s="560"/>
      <c r="F54" s="560"/>
      <c r="G54" s="560"/>
      <c r="H54" s="560"/>
      <c r="I54" s="560"/>
      <c r="J54" s="123"/>
      <c r="K54" s="560"/>
      <c r="L54" s="560"/>
      <c r="M54" s="560"/>
      <c r="N54" s="560"/>
      <c r="O54" s="560"/>
      <c r="P54" s="560"/>
      <c r="Q54" s="560"/>
      <c r="R54" s="560"/>
      <c r="S54" s="43"/>
      <c r="V54" s="123"/>
      <c r="W54" s="123"/>
      <c r="X54" s="123"/>
      <c r="Y54" s="123"/>
      <c r="Z54" s="344" t="s">
        <v>11</v>
      </c>
      <c r="AA54" s="344"/>
      <c r="AB54" s="344"/>
      <c r="AC54" s="344"/>
      <c r="AD54" s="345" t="s">
        <v>12</v>
      </c>
      <c r="AE54" s="345"/>
      <c r="AF54" s="345"/>
      <c r="AG54" s="345"/>
    </row>
    <row r="55" spans="1:43" ht="15" customHeight="1" x14ac:dyDescent="0.25">
      <c r="A55" s="560"/>
      <c r="B55" s="560"/>
      <c r="C55" s="560"/>
      <c r="D55" s="560"/>
      <c r="E55" s="560"/>
      <c r="F55" s="560"/>
      <c r="G55" s="560"/>
      <c r="H55" s="560"/>
      <c r="I55" s="560"/>
      <c r="J55" s="123"/>
      <c r="K55" s="560"/>
      <c r="L55" s="560"/>
      <c r="M55" s="560"/>
      <c r="N55" s="560"/>
      <c r="O55" s="560"/>
      <c r="P55" s="560"/>
      <c r="Q55" s="560"/>
      <c r="R55" s="560"/>
      <c r="S55" s="41"/>
      <c r="T55" s="346" t="s">
        <v>135</v>
      </c>
      <c r="U55" s="346"/>
      <c r="V55" s="346"/>
      <c r="W55" s="346"/>
      <c r="X55" s="346"/>
      <c r="Y55" s="347"/>
      <c r="Z55" s="335">
        <v>0.6</v>
      </c>
      <c r="AA55" s="332"/>
      <c r="AB55" s="332"/>
      <c r="AC55" s="333"/>
      <c r="AD55" s="320"/>
      <c r="AE55" s="321"/>
      <c r="AF55" s="321"/>
      <c r="AG55" s="336"/>
    </row>
    <row r="56" spans="1:43" ht="15" customHeight="1" x14ac:dyDescent="0.25">
      <c r="A56" s="560"/>
      <c r="B56" s="560"/>
      <c r="C56" s="560"/>
      <c r="D56" s="560"/>
      <c r="E56" s="560"/>
      <c r="F56" s="560"/>
      <c r="G56" s="560"/>
      <c r="H56" s="560"/>
      <c r="I56" s="560"/>
      <c r="J56" s="123"/>
      <c r="K56" s="560"/>
      <c r="L56" s="560"/>
      <c r="M56" s="560"/>
      <c r="N56" s="560"/>
      <c r="O56" s="560"/>
      <c r="P56" s="560"/>
      <c r="Q56" s="560"/>
      <c r="R56" s="560"/>
      <c r="S56" s="35"/>
      <c r="T56" s="346" t="s">
        <v>136</v>
      </c>
      <c r="U56" s="346"/>
      <c r="V56" s="346"/>
      <c r="W56" s="346"/>
      <c r="X56" s="346"/>
      <c r="Y56" s="347"/>
      <c r="Z56" s="594" t="s">
        <v>91</v>
      </c>
      <c r="AA56" s="595"/>
      <c r="AB56" s="595"/>
      <c r="AC56" s="596"/>
      <c r="AD56" s="320"/>
      <c r="AE56" s="321"/>
      <c r="AF56" s="321"/>
      <c r="AG56" s="336"/>
    </row>
    <row r="57" spans="1:43" ht="15" customHeight="1" x14ac:dyDescent="0.25">
      <c r="A57" s="560"/>
      <c r="B57" s="560"/>
      <c r="C57" s="560"/>
      <c r="D57" s="560"/>
      <c r="E57" s="560"/>
      <c r="F57" s="560"/>
      <c r="G57" s="560"/>
      <c r="H57" s="560"/>
      <c r="I57" s="560"/>
      <c r="J57" s="41"/>
      <c r="K57" s="41"/>
      <c r="L57" s="41"/>
      <c r="M57" s="41"/>
      <c r="N57" s="41"/>
      <c r="O57" s="41"/>
      <c r="P57" s="41"/>
      <c r="Q57" s="41"/>
      <c r="R57" s="41"/>
      <c r="S57" s="35"/>
    </row>
    <row r="58" spans="1:43" ht="15" customHeight="1" x14ac:dyDescent="0.25">
      <c r="A58" s="560"/>
      <c r="B58" s="560"/>
      <c r="C58" s="560"/>
      <c r="D58" s="560"/>
      <c r="E58" s="560"/>
      <c r="F58" s="560"/>
      <c r="G58" s="560"/>
      <c r="H58" s="560"/>
      <c r="I58" s="560"/>
      <c r="Q58" s="46"/>
      <c r="S58" s="35"/>
    </row>
    <row r="59" spans="1:43" ht="15" customHeight="1" x14ac:dyDescent="0.25">
      <c r="A59" s="103"/>
      <c r="B59" s="779" t="s">
        <v>101</v>
      </c>
      <c r="C59" s="779"/>
      <c r="D59" s="779"/>
      <c r="E59" s="779"/>
      <c r="F59" s="779"/>
      <c r="G59" s="779"/>
      <c r="H59" s="103"/>
      <c r="I59" s="780" t="s">
        <v>105</v>
      </c>
      <c r="J59" s="780"/>
      <c r="K59" s="780"/>
      <c r="L59" s="780"/>
      <c r="M59" s="103"/>
      <c r="N59" s="779" t="s">
        <v>177</v>
      </c>
      <c r="O59" s="779"/>
      <c r="P59" s="779"/>
      <c r="Q59" s="779"/>
      <c r="R59" s="779"/>
      <c r="S59" s="779"/>
      <c r="T59" s="103"/>
      <c r="U59" s="780" t="s">
        <v>179</v>
      </c>
      <c r="V59" s="780"/>
      <c r="W59" s="780"/>
      <c r="X59" s="780"/>
      <c r="Y59" s="780" t="s">
        <v>190</v>
      </c>
      <c r="Z59" s="780"/>
      <c r="AA59" s="780"/>
      <c r="AB59" s="780"/>
      <c r="AC59" s="780"/>
      <c r="AD59" s="780" t="s">
        <v>189</v>
      </c>
      <c r="AE59" s="780"/>
      <c r="AF59" s="780"/>
      <c r="AG59" s="780"/>
      <c r="AH59" s="780"/>
    </row>
    <row r="60" spans="1:43" ht="15" customHeight="1" x14ac:dyDescent="0.25">
      <c r="A60" s="103"/>
      <c r="B60" s="779"/>
      <c r="C60" s="779"/>
      <c r="D60" s="779"/>
      <c r="E60" s="779"/>
      <c r="F60" s="779"/>
      <c r="G60" s="779"/>
      <c r="H60" s="103"/>
      <c r="I60" s="780"/>
      <c r="J60" s="780"/>
      <c r="K60" s="780"/>
      <c r="L60" s="780"/>
      <c r="M60" s="103"/>
      <c r="N60" s="779"/>
      <c r="O60" s="779"/>
      <c r="P60" s="779"/>
      <c r="Q60" s="779"/>
      <c r="R60" s="779"/>
      <c r="S60" s="779"/>
      <c r="T60" s="103"/>
      <c r="U60" s="780"/>
      <c r="V60" s="780"/>
      <c r="W60" s="780"/>
      <c r="X60" s="780"/>
      <c r="Y60" s="780"/>
      <c r="Z60" s="780"/>
      <c r="AA60" s="780"/>
      <c r="AB60" s="780"/>
      <c r="AC60" s="780"/>
      <c r="AD60" s="780"/>
      <c r="AE60" s="780"/>
      <c r="AF60" s="780"/>
      <c r="AG60" s="780"/>
      <c r="AH60" s="780"/>
    </row>
    <row r="61" spans="1:43" ht="15" customHeight="1" x14ac:dyDescent="0.25">
      <c r="A61" s="319" t="s">
        <v>187</v>
      </c>
      <c r="B61" s="317">
        <v>7</v>
      </c>
      <c r="C61" s="317"/>
      <c r="D61" s="317"/>
      <c r="E61" s="317"/>
      <c r="F61" s="317"/>
      <c r="G61" s="317"/>
      <c r="H61" s="104"/>
      <c r="I61" s="104"/>
      <c r="J61" s="104"/>
      <c r="K61" s="104"/>
      <c r="L61" s="104"/>
      <c r="M61" s="104"/>
      <c r="N61" s="317">
        <v>7</v>
      </c>
      <c r="O61" s="317"/>
      <c r="P61" s="317"/>
      <c r="Q61" s="317"/>
      <c r="R61" s="317"/>
      <c r="S61" s="317"/>
      <c r="T61" s="108"/>
      <c r="U61" s="104"/>
      <c r="V61" s="104"/>
      <c r="W61" s="104"/>
      <c r="X61" s="104"/>
      <c r="Y61" s="317">
        <v>0</v>
      </c>
      <c r="Z61" s="317"/>
      <c r="AA61" s="317"/>
      <c r="AB61" s="317"/>
      <c r="AC61" s="317"/>
      <c r="AD61" s="104"/>
      <c r="AE61" s="104"/>
      <c r="AF61" s="104"/>
      <c r="AG61" s="104"/>
      <c r="AH61" s="104"/>
    </row>
    <row r="62" spans="1:43" x14ac:dyDescent="0.25">
      <c r="A62" s="319"/>
      <c r="B62" s="317"/>
      <c r="C62" s="317"/>
      <c r="D62" s="317"/>
      <c r="E62" s="317"/>
      <c r="F62" s="317"/>
      <c r="G62" s="317"/>
      <c r="H62" s="104"/>
      <c r="I62" s="316">
        <v>2</v>
      </c>
      <c r="J62" s="316"/>
      <c r="K62" s="316"/>
      <c r="L62" s="316"/>
      <c r="M62" s="104"/>
      <c r="N62" s="317"/>
      <c r="O62" s="317"/>
      <c r="P62" s="317"/>
      <c r="Q62" s="317"/>
      <c r="R62" s="317"/>
      <c r="S62" s="317"/>
      <c r="T62" s="109"/>
      <c r="U62" s="316">
        <v>2</v>
      </c>
      <c r="V62" s="316"/>
      <c r="W62" s="316"/>
      <c r="X62" s="316"/>
      <c r="Y62" s="317"/>
      <c r="Z62" s="317"/>
      <c r="AA62" s="317"/>
      <c r="AB62" s="317"/>
      <c r="AC62" s="317"/>
      <c r="AD62" s="317">
        <v>2</v>
      </c>
      <c r="AE62" s="317"/>
      <c r="AF62" s="317"/>
      <c r="AG62" s="317"/>
      <c r="AH62" s="317"/>
    </row>
    <row r="63" spans="1:43" x14ac:dyDescent="0.25">
      <c r="A63" s="319"/>
      <c r="B63" s="317"/>
      <c r="C63" s="317"/>
      <c r="D63" s="317"/>
      <c r="E63" s="317"/>
      <c r="F63" s="317"/>
      <c r="G63" s="317"/>
      <c r="H63" s="104"/>
      <c r="I63" s="316"/>
      <c r="J63" s="316"/>
      <c r="K63" s="316"/>
      <c r="L63" s="316"/>
      <c r="M63" s="104"/>
      <c r="N63" s="317"/>
      <c r="O63" s="317"/>
      <c r="P63" s="317"/>
      <c r="Q63" s="317"/>
      <c r="R63" s="317"/>
      <c r="S63" s="317"/>
      <c r="T63" s="109"/>
      <c r="U63" s="316"/>
      <c r="V63" s="316"/>
      <c r="W63" s="316"/>
      <c r="X63" s="316"/>
      <c r="Y63" s="317"/>
      <c r="Z63" s="317"/>
      <c r="AA63" s="317"/>
      <c r="AB63" s="317"/>
      <c r="AC63" s="317"/>
      <c r="AD63" s="317"/>
      <c r="AE63" s="317"/>
      <c r="AF63" s="317"/>
      <c r="AG63" s="317"/>
      <c r="AH63" s="317"/>
    </row>
    <row r="64" spans="1:43" ht="17.25" customHeight="1" x14ac:dyDescent="0.25">
      <c r="A64" s="319"/>
      <c r="B64" s="317"/>
      <c r="C64" s="317"/>
      <c r="D64" s="317"/>
      <c r="E64" s="317"/>
      <c r="F64" s="317"/>
      <c r="G64" s="317"/>
      <c r="H64" s="104"/>
      <c r="I64" s="316"/>
      <c r="J64" s="316"/>
      <c r="K64" s="316"/>
      <c r="L64" s="316"/>
      <c r="M64" s="104"/>
      <c r="N64" s="317"/>
      <c r="O64" s="317"/>
      <c r="P64" s="317"/>
      <c r="Q64" s="317"/>
      <c r="R64" s="317"/>
      <c r="S64" s="317"/>
      <c r="T64" s="109"/>
      <c r="U64" s="316"/>
      <c r="V64" s="316"/>
      <c r="W64" s="316"/>
      <c r="X64" s="316"/>
      <c r="Y64" s="317"/>
      <c r="Z64" s="317"/>
      <c r="AA64" s="317"/>
      <c r="AB64" s="317"/>
      <c r="AC64" s="317"/>
      <c r="AD64" s="317"/>
      <c r="AE64" s="317"/>
      <c r="AF64" s="317"/>
      <c r="AG64" s="317"/>
      <c r="AH64" s="317"/>
    </row>
    <row r="65" spans="1:65" x14ac:dyDescent="0.25">
      <c r="A65" s="319"/>
      <c r="B65" s="317"/>
      <c r="C65" s="317"/>
      <c r="D65" s="317"/>
      <c r="E65" s="317"/>
      <c r="F65" s="317"/>
      <c r="G65" s="317"/>
      <c r="H65" s="104"/>
      <c r="I65" s="316"/>
      <c r="J65" s="316"/>
      <c r="K65" s="316"/>
      <c r="L65" s="316"/>
      <c r="M65" s="104"/>
      <c r="N65" s="317"/>
      <c r="O65" s="317"/>
      <c r="P65" s="317"/>
      <c r="Q65" s="317"/>
      <c r="R65" s="317"/>
      <c r="S65" s="317"/>
      <c r="T65" s="109"/>
      <c r="U65" s="316"/>
      <c r="V65" s="316"/>
      <c r="W65" s="316"/>
      <c r="X65" s="316"/>
      <c r="Y65" s="317"/>
      <c r="Z65" s="317"/>
      <c r="AA65" s="317"/>
      <c r="AB65" s="317"/>
      <c r="AC65" s="317"/>
      <c r="AD65" s="317"/>
      <c r="AE65" s="317"/>
      <c r="AF65" s="317"/>
      <c r="AG65" s="317"/>
      <c r="AH65" s="317"/>
    </row>
    <row r="66" spans="1:65" x14ac:dyDescent="0.25">
      <c r="A66" s="319"/>
      <c r="B66" s="317"/>
      <c r="C66" s="317"/>
      <c r="D66" s="317"/>
      <c r="E66" s="317"/>
      <c r="F66" s="317"/>
      <c r="G66" s="317"/>
      <c r="H66" s="104"/>
      <c r="I66" s="104"/>
      <c r="J66" s="104"/>
      <c r="K66" s="104"/>
      <c r="L66" s="104"/>
      <c r="M66" s="104"/>
      <c r="N66" s="317"/>
      <c r="O66" s="317"/>
      <c r="P66" s="317"/>
      <c r="Q66" s="317"/>
      <c r="R66" s="317"/>
      <c r="S66" s="317"/>
      <c r="T66" s="104"/>
      <c r="U66" s="104"/>
      <c r="V66" s="104"/>
      <c r="W66" s="104"/>
      <c r="X66" s="104"/>
      <c r="Y66" s="317"/>
      <c r="Z66" s="317"/>
      <c r="AA66" s="317"/>
      <c r="AB66" s="317"/>
      <c r="AC66" s="317"/>
      <c r="AD66" s="104"/>
      <c r="AE66" s="104"/>
      <c r="AF66" s="104"/>
      <c r="AG66" s="104"/>
      <c r="AH66" s="104"/>
    </row>
    <row r="67" spans="1:65" ht="6" customHeight="1" x14ac:dyDescent="0.25">
      <c r="A67" s="134"/>
      <c r="B67" s="134"/>
      <c r="C67" s="90"/>
      <c r="D67" s="90"/>
      <c r="E67" s="90"/>
      <c r="F67" s="90"/>
      <c r="G67" s="90"/>
      <c r="H67" s="90"/>
      <c r="I67" s="42"/>
      <c r="J67" s="42"/>
      <c r="K67" s="42"/>
      <c r="L67" s="42"/>
      <c r="M67" s="42"/>
      <c r="N67" s="42"/>
      <c r="O67" s="90"/>
      <c r="P67" s="90"/>
      <c r="Q67" s="90"/>
      <c r="R67" s="90"/>
      <c r="S67" s="90"/>
      <c r="T67" s="90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</row>
    <row r="68" spans="1:65" s="4" customFormat="1" ht="6" customHeight="1" x14ac:dyDescent="0.25">
      <c r="A68" s="127"/>
      <c r="B68" s="127"/>
      <c r="C68" s="91"/>
      <c r="D68" s="91"/>
      <c r="E68" s="91"/>
      <c r="F68" s="91"/>
      <c r="G68" s="91"/>
      <c r="H68" s="91"/>
      <c r="I68" s="40"/>
      <c r="J68" s="40"/>
      <c r="K68" s="40"/>
      <c r="L68" s="40"/>
      <c r="M68" s="40"/>
      <c r="N68" s="40"/>
      <c r="O68" s="91"/>
      <c r="P68" s="91"/>
      <c r="Q68" s="91"/>
      <c r="R68" s="91"/>
      <c r="S68" s="91"/>
      <c r="T68" s="91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35"/>
    </row>
    <row r="69" spans="1:65" ht="15" customHeight="1" x14ac:dyDescent="0.25">
      <c r="A69" s="266" t="s">
        <v>188</v>
      </c>
      <c r="B69" s="267">
        <v>9</v>
      </c>
      <c r="C69" s="267"/>
      <c r="D69" s="267"/>
      <c r="E69" s="267"/>
      <c r="F69" s="267"/>
      <c r="G69" s="267"/>
      <c r="H69" s="105"/>
      <c r="I69" s="105"/>
      <c r="J69" s="105"/>
      <c r="K69" s="105"/>
      <c r="L69" s="105"/>
      <c r="M69" s="105"/>
      <c r="N69" s="267">
        <v>9</v>
      </c>
      <c r="O69" s="267"/>
      <c r="P69" s="267"/>
      <c r="Q69" s="267"/>
      <c r="R69" s="267"/>
      <c r="S69" s="267"/>
      <c r="T69" s="106"/>
      <c r="U69" s="105"/>
      <c r="V69" s="105"/>
      <c r="W69" s="105"/>
      <c r="X69" s="105"/>
      <c r="Y69" s="267">
        <v>7</v>
      </c>
      <c r="Z69" s="267"/>
      <c r="AA69" s="267"/>
      <c r="AB69" s="267"/>
      <c r="AC69" s="267"/>
      <c r="AD69" s="105"/>
      <c r="AE69" s="105"/>
      <c r="AF69" s="105"/>
      <c r="AG69" s="105"/>
      <c r="AH69" s="105"/>
    </row>
    <row r="70" spans="1:65" ht="15" customHeight="1" x14ac:dyDescent="0.25">
      <c r="A70" s="266"/>
      <c r="B70" s="267"/>
      <c r="C70" s="267"/>
      <c r="D70" s="267"/>
      <c r="E70" s="267"/>
      <c r="F70" s="267"/>
      <c r="G70" s="267"/>
      <c r="H70" s="105"/>
      <c r="I70" s="286">
        <v>5</v>
      </c>
      <c r="J70" s="286"/>
      <c r="K70" s="286"/>
      <c r="L70" s="286"/>
      <c r="M70" s="105"/>
      <c r="N70" s="267"/>
      <c r="O70" s="267"/>
      <c r="P70" s="267"/>
      <c r="Q70" s="267"/>
      <c r="R70" s="267"/>
      <c r="S70" s="267"/>
      <c r="T70" s="107"/>
      <c r="U70" s="286">
        <v>5</v>
      </c>
      <c r="V70" s="286"/>
      <c r="W70" s="286"/>
      <c r="X70" s="286"/>
      <c r="Y70" s="267"/>
      <c r="Z70" s="267"/>
      <c r="AA70" s="267"/>
      <c r="AB70" s="267"/>
      <c r="AC70" s="267"/>
      <c r="AD70" s="267">
        <v>4</v>
      </c>
      <c r="AE70" s="267"/>
      <c r="AF70" s="267"/>
      <c r="AG70" s="267"/>
      <c r="AH70" s="267"/>
    </row>
    <row r="71" spans="1:65" x14ac:dyDescent="0.25">
      <c r="A71" s="266"/>
      <c r="B71" s="267"/>
      <c r="C71" s="267"/>
      <c r="D71" s="267"/>
      <c r="E71" s="267"/>
      <c r="F71" s="267"/>
      <c r="G71" s="267"/>
      <c r="H71" s="105"/>
      <c r="I71" s="286"/>
      <c r="J71" s="286"/>
      <c r="K71" s="286"/>
      <c r="L71" s="286"/>
      <c r="M71" s="105"/>
      <c r="N71" s="267"/>
      <c r="O71" s="267"/>
      <c r="P71" s="267"/>
      <c r="Q71" s="267"/>
      <c r="R71" s="267"/>
      <c r="S71" s="267"/>
      <c r="T71" s="107"/>
      <c r="U71" s="286"/>
      <c r="V71" s="286"/>
      <c r="W71" s="286"/>
      <c r="X71" s="286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</row>
    <row r="72" spans="1:65" x14ac:dyDescent="0.25">
      <c r="A72" s="266"/>
      <c r="B72" s="267"/>
      <c r="C72" s="267"/>
      <c r="D72" s="267"/>
      <c r="E72" s="267"/>
      <c r="F72" s="267"/>
      <c r="G72" s="267"/>
      <c r="H72" s="105"/>
      <c r="I72" s="286"/>
      <c r="J72" s="286"/>
      <c r="K72" s="286"/>
      <c r="L72" s="286"/>
      <c r="M72" s="105"/>
      <c r="N72" s="267"/>
      <c r="O72" s="267"/>
      <c r="P72" s="267"/>
      <c r="Q72" s="267"/>
      <c r="R72" s="267"/>
      <c r="S72" s="267"/>
      <c r="T72" s="107"/>
      <c r="U72" s="286"/>
      <c r="V72" s="286"/>
      <c r="W72" s="286"/>
      <c r="X72" s="286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</row>
    <row r="73" spans="1:65" x14ac:dyDescent="0.25">
      <c r="A73" s="266"/>
      <c r="B73" s="267"/>
      <c r="C73" s="267"/>
      <c r="D73" s="267"/>
      <c r="E73" s="267"/>
      <c r="F73" s="267"/>
      <c r="G73" s="267"/>
      <c r="H73" s="105"/>
      <c r="I73" s="286"/>
      <c r="J73" s="286"/>
      <c r="K73" s="286"/>
      <c r="L73" s="286"/>
      <c r="M73" s="105"/>
      <c r="N73" s="267"/>
      <c r="O73" s="267"/>
      <c r="P73" s="267"/>
      <c r="Q73" s="267"/>
      <c r="R73" s="267"/>
      <c r="S73" s="267"/>
      <c r="T73" s="107"/>
      <c r="U73" s="286"/>
      <c r="V73" s="286"/>
      <c r="W73" s="286"/>
      <c r="X73" s="286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</row>
    <row r="74" spans="1:65" x14ac:dyDescent="0.25">
      <c r="A74" s="266"/>
      <c r="B74" s="267"/>
      <c r="C74" s="267"/>
      <c r="D74" s="267"/>
      <c r="E74" s="267"/>
      <c r="F74" s="267"/>
      <c r="G74" s="267"/>
      <c r="H74" s="105"/>
      <c r="I74" s="105"/>
      <c r="J74" s="105"/>
      <c r="K74" s="105"/>
      <c r="L74" s="105"/>
      <c r="M74" s="105"/>
      <c r="N74" s="267"/>
      <c r="O74" s="267"/>
      <c r="P74" s="267"/>
      <c r="Q74" s="267"/>
      <c r="R74" s="267"/>
      <c r="S74" s="267"/>
      <c r="T74" s="105"/>
      <c r="U74" s="105"/>
      <c r="V74" s="105"/>
      <c r="W74" s="105"/>
      <c r="X74" s="105"/>
      <c r="Y74" s="267"/>
      <c r="Z74" s="267"/>
      <c r="AA74" s="267"/>
      <c r="AB74" s="267"/>
      <c r="AC74" s="267"/>
      <c r="AD74" s="105"/>
      <c r="AE74" s="105"/>
      <c r="AF74" s="105"/>
      <c r="AG74" s="105"/>
      <c r="AH74" s="105"/>
    </row>
    <row r="76" spans="1:65" ht="15" customHeight="1" x14ac:dyDescent="0.25">
      <c r="A76" s="781" t="s">
        <v>191</v>
      </c>
      <c r="B76" s="781"/>
      <c r="C76" s="781"/>
      <c r="D76" s="781"/>
      <c r="F76" s="780" t="s">
        <v>203</v>
      </c>
      <c r="G76" s="780"/>
      <c r="H76" s="780"/>
      <c r="I76" s="780"/>
      <c r="J76" s="780"/>
      <c r="L76" s="287" t="s">
        <v>193</v>
      </c>
      <c r="M76" s="273"/>
      <c r="N76" s="274"/>
      <c r="O76" s="274"/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  <c r="AF76" s="274"/>
      <c r="AG76" s="274"/>
      <c r="AH76" s="275"/>
    </row>
    <row r="77" spans="1:65" ht="15" customHeight="1" x14ac:dyDescent="0.25">
      <c r="A77" s="781"/>
      <c r="B77" s="781"/>
      <c r="C77" s="781"/>
      <c r="D77" s="781"/>
      <c r="F77" s="780"/>
      <c r="G77" s="780"/>
      <c r="H77" s="780"/>
      <c r="I77" s="780"/>
      <c r="J77" s="780"/>
      <c r="L77" s="287"/>
      <c r="M77" s="276"/>
      <c r="N77" s="277"/>
      <c r="O77" s="277"/>
      <c r="P77" s="277"/>
      <c r="Q77" s="277"/>
      <c r="R77" s="277"/>
      <c r="S77" s="277"/>
      <c r="T77" s="277"/>
      <c r="U77" s="277"/>
      <c r="V77" s="277"/>
      <c r="W77" s="277"/>
      <c r="X77" s="277"/>
      <c r="Y77" s="277"/>
      <c r="Z77" s="277"/>
      <c r="AA77" s="277"/>
      <c r="AB77" s="277"/>
      <c r="AC77" s="277"/>
      <c r="AD77" s="277"/>
      <c r="AE77" s="277"/>
      <c r="AF77" s="277"/>
      <c r="AG77" s="277"/>
      <c r="AH77" s="278"/>
    </row>
    <row r="78" spans="1:65" x14ac:dyDescent="0.25">
      <c r="A78" s="265">
        <v>2</v>
      </c>
      <c r="B78" s="265"/>
      <c r="C78" s="265"/>
      <c r="D78" s="265"/>
      <c r="F78" s="272">
        <v>2</v>
      </c>
      <c r="G78" s="272"/>
      <c r="H78" s="272"/>
      <c r="I78" s="272"/>
      <c r="J78" s="272"/>
      <c r="L78" s="287"/>
      <c r="M78" s="276"/>
      <c r="N78" s="277"/>
      <c r="O78" s="277"/>
      <c r="P78" s="277"/>
      <c r="Q78" s="277"/>
      <c r="R78" s="277"/>
      <c r="S78" s="277"/>
      <c r="T78" s="277"/>
      <c r="U78" s="277"/>
      <c r="V78" s="277"/>
      <c r="W78" s="277"/>
      <c r="X78" s="277"/>
      <c r="Y78" s="277"/>
      <c r="Z78" s="277"/>
      <c r="AA78" s="277"/>
      <c r="AB78" s="277"/>
      <c r="AC78" s="277"/>
      <c r="AD78" s="277"/>
      <c r="AE78" s="277"/>
      <c r="AF78" s="277"/>
      <c r="AG78" s="277"/>
      <c r="AH78" s="278"/>
      <c r="BE78" s="35"/>
      <c r="BM78" s="120"/>
    </row>
    <row r="79" spans="1:65" x14ac:dyDescent="0.25">
      <c r="A79" s="265"/>
      <c r="B79" s="265"/>
      <c r="C79" s="265"/>
      <c r="D79" s="265"/>
      <c r="F79" s="272"/>
      <c r="G79" s="272"/>
      <c r="H79" s="272"/>
      <c r="I79" s="272"/>
      <c r="J79" s="272"/>
      <c r="L79" s="287"/>
      <c r="M79" s="276"/>
      <c r="N79" s="277"/>
      <c r="O79" s="277"/>
      <c r="P79" s="277"/>
      <c r="Q79" s="277"/>
      <c r="R79" s="277"/>
      <c r="S79" s="277"/>
      <c r="T79" s="277"/>
      <c r="U79" s="277"/>
      <c r="V79" s="277"/>
      <c r="W79" s="277"/>
      <c r="X79" s="277"/>
      <c r="Y79" s="277"/>
      <c r="Z79" s="277"/>
      <c r="AA79" s="277"/>
      <c r="AB79" s="277"/>
      <c r="AC79" s="277"/>
      <c r="AD79" s="277"/>
      <c r="AE79" s="277"/>
      <c r="AF79" s="277"/>
      <c r="AG79" s="277"/>
      <c r="AH79" s="278"/>
      <c r="AZ79" s="35"/>
      <c r="BE79" s="35"/>
      <c r="BM79" s="35"/>
    </row>
    <row r="80" spans="1:65" x14ac:dyDescent="0.25">
      <c r="A80" s="265"/>
      <c r="B80" s="265"/>
      <c r="C80" s="265"/>
      <c r="D80" s="265"/>
      <c r="F80" s="272"/>
      <c r="G80" s="272"/>
      <c r="H80" s="272"/>
      <c r="I80" s="272"/>
      <c r="J80" s="272"/>
      <c r="L80" s="287"/>
      <c r="M80" s="276"/>
      <c r="N80" s="277"/>
      <c r="O80" s="277"/>
      <c r="P80" s="277"/>
      <c r="Q80" s="277"/>
      <c r="R80" s="277"/>
      <c r="S80" s="277"/>
      <c r="T80" s="277"/>
      <c r="U80" s="277"/>
      <c r="V80" s="277"/>
      <c r="W80" s="277"/>
      <c r="X80" s="277"/>
      <c r="Y80" s="277"/>
      <c r="Z80" s="277"/>
      <c r="AA80" s="277"/>
      <c r="AB80" s="277"/>
      <c r="AC80" s="277"/>
      <c r="AD80" s="277"/>
      <c r="AE80" s="277"/>
      <c r="AF80" s="277"/>
      <c r="AG80" s="277"/>
      <c r="AH80" s="278"/>
      <c r="AZ80" s="35"/>
      <c r="BE80" s="35"/>
      <c r="BM80" s="35"/>
    </row>
    <row r="81" spans="1:65" ht="14.25" customHeight="1" x14ac:dyDescent="0.25">
      <c r="A81" s="265"/>
      <c r="B81" s="265"/>
      <c r="C81" s="265"/>
      <c r="D81" s="265"/>
      <c r="F81" s="272"/>
      <c r="G81" s="272"/>
      <c r="H81" s="272"/>
      <c r="I81" s="272"/>
      <c r="J81" s="272"/>
      <c r="L81" s="287"/>
      <c r="M81" s="276"/>
      <c r="N81" s="277"/>
      <c r="O81" s="277"/>
      <c r="P81" s="277"/>
      <c r="Q81" s="277"/>
      <c r="R81" s="277"/>
      <c r="S81" s="277"/>
      <c r="T81" s="277"/>
      <c r="U81" s="277"/>
      <c r="V81" s="277"/>
      <c r="W81" s="277"/>
      <c r="X81" s="277"/>
      <c r="Y81" s="277"/>
      <c r="Z81" s="277"/>
      <c r="AA81" s="277"/>
      <c r="AB81" s="277"/>
      <c r="AC81" s="277"/>
      <c r="AD81" s="277"/>
      <c r="AE81" s="277"/>
      <c r="AF81" s="277"/>
      <c r="AG81" s="277"/>
      <c r="AH81" s="278"/>
      <c r="AZ81" s="35"/>
      <c r="BE81" s="35"/>
      <c r="BM81" s="35"/>
    </row>
    <row r="82" spans="1:65" ht="14.25" customHeight="1" x14ac:dyDescent="0.25">
      <c r="A82" s="265"/>
      <c r="B82" s="265"/>
      <c r="C82" s="265"/>
      <c r="D82" s="265"/>
      <c r="F82" s="35"/>
      <c r="L82" s="287"/>
      <c r="M82" s="276"/>
      <c r="N82" s="277"/>
      <c r="O82" s="277"/>
      <c r="P82" s="277"/>
      <c r="Q82" s="277"/>
      <c r="R82" s="277"/>
      <c r="S82" s="277"/>
      <c r="T82" s="277"/>
      <c r="U82" s="277"/>
      <c r="V82" s="277"/>
      <c r="W82" s="277"/>
      <c r="X82" s="277"/>
      <c r="Y82" s="277"/>
      <c r="Z82" s="277"/>
      <c r="AA82" s="277"/>
      <c r="AB82" s="277"/>
      <c r="AC82" s="277"/>
      <c r="AD82" s="277"/>
      <c r="AE82" s="277"/>
      <c r="AF82" s="277"/>
      <c r="AG82" s="277"/>
      <c r="AH82" s="278"/>
      <c r="AZ82" s="35"/>
      <c r="BE82" s="35"/>
      <c r="BM82" s="35"/>
    </row>
    <row r="83" spans="1:65" x14ac:dyDescent="0.25">
      <c r="A83" s="782" t="s">
        <v>181</v>
      </c>
      <c r="B83" s="782"/>
      <c r="C83" s="782"/>
      <c r="D83" s="782"/>
      <c r="E83" s="782"/>
      <c r="F83" s="782" t="s">
        <v>180</v>
      </c>
      <c r="G83" s="782"/>
      <c r="H83" s="782"/>
      <c r="I83" s="782"/>
      <c r="J83" s="782"/>
      <c r="L83" s="287"/>
      <c r="M83" s="276"/>
      <c r="N83" s="277"/>
      <c r="O83" s="277"/>
      <c r="P83" s="277"/>
      <c r="Q83" s="277"/>
      <c r="R83" s="277"/>
      <c r="S83" s="277"/>
      <c r="T83" s="277"/>
      <c r="U83" s="277"/>
      <c r="V83" s="277"/>
      <c r="W83" s="277"/>
      <c r="X83" s="277"/>
      <c r="Y83" s="277"/>
      <c r="Z83" s="277"/>
      <c r="AA83" s="277"/>
      <c r="AB83" s="277"/>
      <c r="AC83" s="277"/>
      <c r="AD83" s="277"/>
      <c r="AE83" s="277"/>
      <c r="AF83" s="277"/>
      <c r="AG83" s="277"/>
      <c r="AH83" s="278"/>
      <c r="BM83" s="35"/>
    </row>
    <row r="84" spans="1:65" ht="15" customHeight="1" x14ac:dyDescent="0.25">
      <c r="A84" s="782"/>
      <c r="B84" s="782"/>
      <c r="C84" s="782"/>
      <c r="D84" s="782"/>
      <c r="E84" s="782"/>
      <c r="F84" s="782"/>
      <c r="G84" s="782"/>
      <c r="H84" s="782"/>
      <c r="I84" s="782"/>
      <c r="J84" s="782"/>
      <c r="L84" s="287"/>
      <c r="M84" s="276"/>
      <c r="N84" s="277"/>
      <c r="O84" s="277"/>
      <c r="P84" s="277"/>
      <c r="Q84" s="277"/>
      <c r="R84" s="277"/>
      <c r="S84" s="277"/>
      <c r="T84" s="277"/>
      <c r="U84" s="277"/>
      <c r="V84" s="277"/>
      <c r="W84" s="277"/>
      <c r="X84" s="277"/>
      <c r="Y84" s="277"/>
      <c r="Z84" s="277"/>
      <c r="AA84" s="277"/>
      <c r="AB84" s="277"/>
      <c r="AC84" s="277"/>
      <c r="AD84" s="277"/>
      <c r="AE84" s="277"/>
      <c r="AF84" s="277"/>
      <c r="AG84" s="277"/>
      <c r="AH84" s="278"/>
    </row>
    <row r="85" spans="1:65" x14ac:dyDescent="0.25">
      <c r="A85" s="782"/>
      <c r="B85" s="782"/>
      <c r="C85" s="782"/>
      <c r="D85" s="782"/>
      <c r="E85" s="782"/>
      <c r="F85" s="782"/>
      <c r="G85" s="782"/>
      <c r="H85" s="782"/>
      <c r="I85" s="782"/>
      <c r="J85" s="782"/>
      <c r="L85" s="287"/>
      <c r="M85" s="279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1"/>
    </row>
    <row r="86" spans="1:65" x14ac:dyDescent="0.25">
      <c r="A86" s="264">
        <v>3</v>
      </c>
      <c r="B86" s="264"/>
      <c r="C86" s="264"/>
      <c r="D86" s="264"/>
      <c r="F86" s="264">
        <v>3</v>
      </c>
      <c r="G86" s="264"/>
      <c r="H86" s="264"/>
      <c r="I86" s="264"/>
      <c r="L86" s="68" t="s">
        <v>182</v>
      </c>
    </row>
    <row r="87" spans="1:65" x14ac:dyDescent="0.25">
      <c r="A87" s="264"/>
      <c r="B87" s="264"/>
      <c r="C87" s="264"/>
      <c r="D87" s="264"/>
      <c r="F87" s="264"/>
      <c r="G87" s="264"/>
      <c r="H87" s="264"/>
      <c r="I87" s="264"/>
      <c r="L87" s="273"/>
      <c r="M87" s="274"/>
      <c r="N87" s="274"/>
      <c r="O87" s="274"/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C87" s="274"/>
      <c r="AD87" s="274"/>
      <c r="AE87" s="274"/>
      <c r="AF87" s="274"/>
      <c r="AG87" s="274"/>
      <c r="AH87" s="275"/>
    </row>
    <row r="88" spans="1:65" ht="15" customHeight="1" x14ac:dyDescent="0.25">
      <c r="A88" s="264"/>
      <c r="B88" s="264"/>
      <c r="C88" s="264"/>
      <c r="D88" s="264"/>
      <c r="F88" s="264"/>
      <c r="G88" s="264"/>
      <c r="H88" s="264"/>
      <c r="I88" s="264"/>
      <c r="L88" s="276"/>
      <c r="M88" s="277"/>
      <c r="N88" s="277"/>
      <c r="O88" s="277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277"/>
      <c r="AC88" s="277"/>
      <c r="AD88" s="277"/>
      <c r="AE88" s="277"/>
      <c r="AF88" s="277"/>
      <c r="AG88" s="277"/>
      <c r="AH88" s="278"/>
    </row>
    <row r="89" spans="1:65" x14ac:dyDescent="0.25">
      <c r="A89" s="264"/>
      <c r="B89" s="264"/>
      <c r="C89" s="264"/>
      <c r="D89" s="264"/>
      <c r="F89" s="264"/>
      <c r="G89" s="264"/>
      <c r="H89" s="264"/>
      <c r="I89" s="264"/>
      <c r="L89" s="279"/>
      <c r="M89" s="280"/>
      <c r="N89" s="280"/>
      <c r="O89" s="280"/>
      <c r="P89" s="280"/>
      <c r="Q89" s="280"/>
      <c r="R89" s="280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280"/>
      <c r="AG89" s="280"/>
      <c r="AH89" s="281"/>
    </row>
    <row r="90" spans="1:65" ht="3" customHeight="1" x14ac:dyDescent="0.25">
      <c r="A90" s="73"/>
      <c r="B90" s="73"/>
      <c r="C90" s="73"/>
      <c r="D90" s="7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</row>
    <row r="91" spans="1:65" ht="3" customHeight="1" thickBot="1" x14ac:dyDescent="0.3">
      <c r="A91" s="74"/>
      <c r="B91" s="74"/>
      <c r="C91" s="74"/>
      <c r="D91" s="74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65" ht="15" customHeight="1" thickTop="1" thickBot="1" x14ac:dyDescent="0.3">
      <c r="A92" s="597" t="s">
        <v>220</v>
      </c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  <c r="AG92" s="597"/>
      <c r="AH92" s="597"/>
    </row>
    <row r="93" spans="1:65" ht="6" customHeight="1" thickTop="1" x14ac:dyDescent="0.25"/>
    <row r="94" spans="1:65" ht="14.25" customHeight="1" x14ac:dyDescent="0.25">
      <c r="A94" s="611" t="s">
        <v>162</v>
      </c>
      <c r="B94" s="612"/>
      <c r="C94" s="612"/>
      <c r="D94" s="612"/>
      <c r="E94" s="612"/>
      <c r="F94" s="612"/>
      <c r="G94" s="612"/>
      <c r="H94" s="612"/>
      <c r="I94" s="612"/>
      <c r="J94" s="613"/>
      <c r="P94" s="35"/>
      <c r="Q94" s="35"/>
      <c r="R94" s="35"/>
      <c r="S94" s="35"/>
      <c r="T94" s="35"/>
      <c r="U94" s="35"/>
      <c r="V94" s="35"/>
      <c r="W94" s="35"/>
      <c r="X94" s="35"/>
      <c r="Y94" s="269" t="s">
        <v>149</v>
      </c>
      <c r="Z94" s="269"/>
      <c r="AA94" s="269"/>
      <c r="AB94" s="269"/>
      <c r="AC94" s="42"/>
      <c r="AD94" s="270" t="s">
        <v>150</v>
      </c>
      <c r="AE94" s="270"/>
      <c r="AF94" s="270"/>
      <c r="AG94" s="270"/>
      <c r="AH94" s="40"/>
    </row>
    <row r="95" spans="1:65" ht="14.25" customHeight="1" x14ac:dyDescent="0.25">
      <c r="A95" s="614"/>
      <c r="B95" s="579"/>
      <c r="C95" s="579"/>
      <c r="D95" s="579"/>
      <c r="E95" s="579"/>
      <c r="F95" s="579"/>
      <c r="G95" s="579"/>
      <c r="H95" s="579"/>
      <c r="I95" s="579"/>
      <c r="J95" s="615"/>
      <c r="P95" s="39" t="s">
        <v>151</v>
      </c>
      <c r="Q95" s="35"/>
      <c r="R95" s="35"/>
      <c r="S95" s="35"/>
      <c r="T95" s="35"/>
      <c r="U95" s="35"/>
      <c r="V95" s="35"/>
      <c r="W95" s="35"/>
      <c r="X95" s="35"/>
      <c r="Y95" s="783">
        <v>9.4700000000000006</v>
      </c>
      <c r="Z95" s="784"/>
      <c r="AA95" s="784"/>
      <c r="AB95" s="789"/>
      <c r="AC95" s="51" t="s">
        <v>295</v>
      </c>
      <c r="AD95" s="783">
        <v>9.4499999999999993</v>
      </c>
      <c r="AE95" s="784"/>
      <c r="AF95" s="784"/>
      <c r="AG95" s="789"/>
      <c r="AH95" s="52" t="s">
        <v>295</v>
      </c>
    </row>
    <row r="96" spans="1:65" ht="14.25" customHeight="1" x14ac:dyDescent="0.25">
      <c r="A96" s="614"/>
      <c r="B96" s="579"/>
      <c r="C96" s="579"/>
      <c r="D96" s="579"/>
      <c r="E96" s="579"/>
      <c r="F96" s="579"/>
      <c r="G96" s="579"/>
      <c r="H96" s="579"/>
      <c r="I96" s="579"/>
      <c r="J96" s="615"/>
    </row>
    <row r="97" spans="1:34" ht="14.25" customHeight="1" x14ac:dyDescent="0.25">
      <c r="A97" s="614"/>
      <c r="B97" s="579"/>
      <c r="C97" s="579"/>
      <c r="D97" s="579"/>
      <c r="E97" s="579"/>
      <c r="F97" s="579"/>
      <c r="G97" s="579"/>
      <c r="H97" s="579"/>
      <c r="I97" s="579"/>
      <c r="J97" s="615"/>
      <c r="R97" s="282" t="s">
        <v>204</v>
      </c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  <c r="AF97" s="282"/>
      <c r="AG97" s="282"/>
    </row>
    <row r="98" spans="1:34" ht="14.25" customHeight="1" x14ac:dyDescent="0.25">
      <c r="A98" s="616"/>
      <c r="B98" s="617"/>
      <c r="C98" s="617"/>
      <c r="D98" s="617"/>
      <c r="E98" s="617"/>
      <c r="F98" s="617"/>
      <c r="G98" s="617"/>
      <c r="H98" s="617"/>
      <c r="I98" s="617"/>
      <c r="J98" s="618"/>
      <c r="R98" s="263" t="s">
        <v>147</v>
      </c>
      <c r="S98" s="263"/>
      <c r="T98" s="263"/>
      <c r="U98" s="263"/>
      <c r="V98" s="263"/>
      <c r="W98" s="263"/>
      <c r="X98" s="263"/>
      <c r="Y98" s="779" t="s">
        <v>149</v>
      </c>
      <c r="Z98" s="779"/>
      <c r="AA98" s="779"/>
      <c r="AB98" s="779"/>
      <c r="AC98" s="39"/>
      <c r="AD98" s="779" t="s">
        <v>150</v>
      </c>
      <c r="AE98" s="779"/>
      <c r="AF98" s="779"/>
      <c r="AG98" s="779"/>
      <c r="AH98" s="40"/>
    </row>
    <row r="99" spans="1:34" ht="14.25" customHeight="1" x14ac:dyDescent="0.25">
      <c r="A99" s="39" t="s">
        <v>297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261">
        <v>5.19</v>
      </c>
      <c r="N99" s="262"/>
      <c r="O99" s="262"/>
      <c r="P99" s="50" t="s">
        <v>293</v>
      </c>
      <c r="R99" s="786" t="s">
        <v>57</v>
      </c>
      <c r="S99" s="786"/>
      <c r="T99" s="786"/>
      <c r="U99" s="786"/>
      <c r="V99" s="786"/>
      <c r="W99" s="786"/>
      <c r="X99" s="786"/>
      <c r="Y99" s="788">
        <v>8.1</v>
      </c>
      <c r="Z99" s="788"/>
      <c r="AA99" s="788"/>
      <c r="AB99" s="783"/>
      <c r="AC99" s="51" t="s">
        <v>293</v>
      </c>
      <c r="AD99" s="788">
        <v>8.7899999999999991</v>
      </c>
      <c r="AE99" s="788"/>
      <c r="AF99" s="788"/>
      <c r="AG99" s="788"/>
      <c r="AH99" s="52" t="s">
        <v>295</v>
      </c>
    </row>
    <row r="100" spans="1:34" ht="14.25" customHeight="1" x14ac:dyDescent="0.25">
      <c r="A100" s="39" t="s">
        <v>298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261"/>
      <c r="N100" s="262"/>
      <c r="O100" s="262"/>
      <c r="P100" s="50" t="s">
        <v>294</v>
      </c>
      <c r="Q100" s="35"/>
      <c r="R100" s="786" t="s">
        <v>58</v>
      </c>
      <c r="S100" s="786"/>
      <c r="T100" s="786"/>
      <c r="U100" s="786"/>
      <c r="V100" s="786"/>
      <c r="W100" s="786"/>
      <c r="X100" s="786"/>
      <c r="Y100" s="788">
        <v>6.13</v>
      </c>
      <c r="Z100" s="788"/>
      <c r="AA100" s="788"/>
      <c r="AB100" s="783"/>
      <c r="AC100" s="51" t="s">
        <v>293</v>
      </c>
      <c r="AD100" s="788">
        <v>6.34</v>
      </c>
      <c r="AE100" s="788"/>
      <c r="AF100" s="788"/>
      <c r="AG100" s="788"/>
      <c r="AH100" s="52" t="s">
        <v>295</v>
      </c>
    </row>
    <row r="101" spans="1:34" ht="14.25" customHeight="1" x14ac:dyDescent="0.25">
      <c r="A101" s="39" t="s">
        <v>299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261">
        <v>4.99</v>
      </c>
      <c r="N101" s="262"/>
      <c r="O101" s="262"/>
      <c r="P101" s="50" t="s">
        <v>295</v>
      </c>
      <c r="Q101" s="35"/>
      <c r="R101" s="786" t="s">
        <v>59</v>
      </c>
      <c r="S101" s="786"/>
      <c r="T101" s="786"/>
      <c r="U101" s="786"/>
      <c r="V101" s="786"/>
      <c r="W101" s="786"/>
      <c r="X101" s="786"/>
      <c r="Y101" s="788">
        <v>9</v>
      </c>
      <c r="Z101" s="788"/>
      <c r="AA101" s="788"/>
      <c r="AB101" s="783"/>
      <c r="AC101" s="51" t="s">
        <v>293</v>
      </c>
      <c r="AD101" s="788">
        <v>8.59</v>
      </c>
      <c r="AE101" s="788"/>
      <c r="AF101" s="788"/>
      <c r="AG101" s="788"/>
      <c r="AH101" s="52" t="s">
        <v>295</v>
      </c>
    </row>
    <row r="102" spans="1:34" ht="14.25" customHeight="1" x14ac:dyDescent="0.25">
      <c r="A102" s="39" t="s">
        <v>300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261"/>
      <c r="N102" s="262"/>
      <c r="O102" s="262"/>
      <c r="P102" s="50" t="s">
        <v>296</v>
      </c>
      <c r="Q102" s="35"/>
      <c r="R102" s="786" t="s">
        <v>148</v>
      </c>
      <c r="S102" s="786"/>
      <c r="T102" s="786"/>
      <c r="U102" s="786"/>
      <c r="V102" s="786"/>
      <c r="W102" s="786"/>
      <c r="X102" s="786"/>
      <c r="Y102" s="788">
        <v>5.89</v>
      </c>
      <c r="Z102" s="788"/>
      <c r="AA102" s="788"/>
      <c r="AB102" s="783"/>
      <c r="AC102" s="51" t="s">
        <v>293</v>
      </c>
      <c r="AD102" s="788">
        <v>5.22</v>
      </c>
      <c r="AE102" s="788"/>
      <c r="AF102" s="788"/>
      <c r="AG102" s="788"/>
      <c r="AH102" s="52" t="s">
        <v>295</v>
      </c>
    </row>
    <row r="103" spans="1:34" ht="14.25" customHeight="1" x14ac:dyDescent="0.25">
      <c r="A103" s="635" t="s">
        <v>145</v>
      </c>
      <c r="B103" s="635"/>
      <c r="C103" s="636"/>
      <c r="D103" s="253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  <c r="P103" s="255"/>
      <c r="Q103" s="35"/>
      <c r="R103" s="787" t="s">
        <v>233</v>
      </c>
      <c r="S103" s="787"/>
      <c r="T103" s="787"/>
      <c r="U103" s="787"/>
      <c r="V103" s="787"/>
      <c r="W103" s="787"/>
      <c r="X103" s="787"/>
      <c r="Y103" s="788">
        <v>8.6300000000000008</v>
      </c>
      <c r="Z103" s="788"/>
      <c r="AA103" s="788"/>
      <c r="AB103" s="783"/>
      <c r="AC103" s="51" t="s">
        <v>293</v>
      </c>
      <c r="AD103" s="788">
        <v>9.39</v>
      </c>
      <c r="AE103" s="788"/>
      <c r="AF103" s="788"/>
      <c r="AG103" s="788"/>
      <c r="AH103" s="52" t="s">
        <v>295</v>
      </c>
    </row>
    <row r="104" spans="1:34" s="3" customFormat="1" ht="14.25" customHeight="1" x14ac:dyDescent="0.25">
      <c r="A104" s="635"/>
      <c r="B104" s="635"/>
      <c r="C104" s="636"/>
      <c r="D104" s="253"/>
      <c r="E104" s="254"/>
      <c r="F104" s="254"/>
      <c r="G104" s="254"/>
      <c r="H104" s="254"/>
      <c r="I104" s="254"/>
      <c r="J104" s="254"/>
      <c r="K104" s="254"/>
      <c r="L104" s="254"/>
      <c r="M104" s="254"/>
      <c r="N104" s="254"/>
      <c r="O104" s="254"/>
      <c r="P104" s="255"/>
      <c r="Q104" s="35"/>
      <c r="R104" s="787" t="s">
        <v>234</v>
      </c>
      <c r="S104" s="787"/>
      <c r="T104" s="787"/>
      <c r="U104" s="787"/>
      <c r="V104" s="787"/>
      <c r="W104" s="787"/>
      <c r="X104" s="787"/>
      <c r="Y104" s="788">
        <v>9.17</v>
      </c>
      <c r="Z104" s="788"/>
      <c r="AA104" s="788"/>
      <c r="AB104" s="783"/>
      <c r="AC104" s="51" t="s">
        <v>293</v>
      </c>
      <c r="AD104" s="788">
        <v>9.8000000000000007</v>
      </c>
      <c r="AE104" s="788"/>
      <c r="AF104" s="788"/>
      <c r="AG104" s="788"/>
      <c r="AH104" s="52" t="s">
        <v>295</v>
      </c>
    </row>
    <row r="105" spans="1:34" ht="14.25" customHeight="1" x14ac:dyDescent="0.25">
      <c r="A105" s="635"/>
      <c r="B105" s="635"/>
      <c r="C105" s="636"/>
      <c r="D105" s="256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8"/>
      <c r="Q105" s="35"/>
      <c r="R105" s="787" t="s">
        <v>235</v>
      </c>
      <c r="S105" s="787"/>
      <c r="T105" s="787"/>
      <c r="U105" s="787"/>
      <c r="V105" s="787"/>
      <c r="W105" s="787"/>
      <c r="X105" s="787"/>
      <c r="Y105" s="788">
        <v>8.9600000000000009</v>
      </c>
      <c r="Z105" s="788"/>
      <c r="AA105" s="788"/>
      <c r="AB105" s="783"/>
      <c r="AC105" s="51" t="s">
        <v>293</v>
      </c>
      <c r="AD105" s="788">
        <v>8.35</v>
      </c>
      <c r="AE105" s="788"/>
      <c r="AF105" s="788"/>
      <c r="AG105" s="788"/>
      <c r="AH105" s="52" t="s">
        <v>295</v>
      </c>
    </row>
    <row r="106" spans="1:34" s="40" customFormat="1" ht="14.25" customHeight="1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47"/>
      <c r="R106" s="787" t="s">
        <v>236</v>
      </c>
      <c r="S106" s="787"/>
      <c r="T106" s="787"/>
      <c r="U106" s="787"/>
      <c r="V106" s="787"/>
      <c r="W106" s="787"/>
      <c r="X106" s="787"/>
      <c r="Y106" s="788">
        <v>8.82</v>
      </c>
      <c r="Z106" s="788"/>
      <c r="AA106" s="788"/>
      <c r="AB106" s="783"/>
      <c r="AC106" s="51" t="s">
        <v>293</v>
      </c>
      <c r="AD106" s="788">
        <v>8.9</v>
      </c>
      <c r="AE106" s="788"/>
      <c r="AF106" s="788"/>
      <c r="AG106" s="788"/>
      <c r="AH106" s="52" t="s">
        <v>295</v>
      </c>
    </row>
    <row r="107" spans="1:34" s="40" customFormat="1" ht="14.25" customHeight="1" x14ac:dyDescent="0.25">
      <c r="A107" s="39" t="s">
        <v>62</v>
      </c>
      <c r="B107" s="35"/>
      <c r="C107" s="35"/>
      <c r="D107" s="35"/>
      <c r="E107" s="35"/>
      <c r="F107" s="35"/>
      <c r="G107" s="35"/>
      <c r="H107" s="35"/>
      <c r="I107" s="35"/>
      <c r="J107" s="783">
        <v>5.19</v>
      </c>
      <c r="K107" s="784"/>
      <c r="L107" s="785"/>
      <c r="M107" s="38" t="s">
        <v>293</v>
      </c>
      <c r="N107" s="35"/>
      <c r="O107" s="35"/>
      <c r="P107" s="35"/>
      <c r="Q107" s="47"/>
      <c r="R107" s="210"/>
      <c r="S107" s="210"/>
      <c r="T107" s="210"/>
      <c r="U107" s="210"/>
      <c r="V107" s="210"/>
      <c r="W107" s="210"/>
      <c r="X107" s="210"/>
      <c r="Y107" s="213"/>
      <c r="Z107" s="213"/>
      <c r="AA107" s="213"/>
      <c r="AB107" s="213"/>
      <c r="AC107" s="215"/>
      <c r="AD107" s="214"/>
      <c r="AE107" s="214"/>
      <c r="AF107" s="214"/>
      <c r="AG107" s="214"/>
      <c r="AH107" s="216"/>
    </row>
    <row r="108" spans="1:34" ht="6" customHeight="1" x14ac:dyDescent="0.25">
      <c r="AH108" s="35"/>
    </row>
    <row r="109" spans="1:34" ht="14.25" customHeight="1" x14ac:dyDescent="0.25">
      <c r="A109" s="236" t="s">
        <v>8</v>
      </c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8"/>
      <c r="R109" s="248" t="s">
        <v>152</v>
      </c>
      <c r="S109" s="248"/>
      <c r="T109" s="248"/>
      <c r="U109" s="248"/>
      <c r="V109" s="248"/>
      <c r="W109" s="248"/>
      <c r="X109" s="248"/>
      <c r="Y109" s="245" t="s">
        <v>149</v>
      </c>
      <c r="Z109" s="245"/>
      <c r="AA109" s="245"/>
      <c r="AB109" s="245"/>
      <c r="AC109" s="48"/>
      <c r="AD109" s="245" t="s">
        <v>150</v>
      </c>
      <c r="AE109" s="245"/>
      <c r="AF109" s="245"/>
      <c r="AG109" s="245"/>
      <c r="AH109" s="48"/>
    </row>
    <row r="110" spans="1:34" ht="14.25" customHeight="1" x14ac:dyDescent="0.25">
      <c r="A110" s="239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1"/>
      <c r="R110" s="242" t="s">
        <v>60</v>
      </c>
      <c r="S110" s="242"/>
      <c r="T110" s="242"/>
      <c r="U110" s="242"/>
      <c r="V110" s="242"/>
      <c r="W110" s="242"/>
      <c r="X110" s="242"/>
      <c r="Y110" s="243"/>
      <c r="Z110" s="243"/>
      <c r="AA110" s="243"/>
      <c r="AB110" s="244"/>
      <c r="AC110" s="49"/>
      <c r="AD110" s="243"/>
      <c r="AE110" s="243"/>
      <c r="AF110" s="243"/>
      <c r="AG110" s="243"/>
      <c r="AH110" s="49"/>
    </row>
    <row r="111" spans="1:34" s="3" customFormat="1" ht="14.25" customHeight="1" x14ac:dyDescent="0.25">
      <c r="A111" s="239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1"/>
      <c r="R111" s="242" t="s">
        <v>61</v>
      </c>
      <c r="S111" s="242"/>
      <c r="T111" s="242"/>
      <c r="U111" s="242"/>
      <c r="V111" s="242"/>
      <c r="W111" s="242"/>
      <c r="X111" s="242"/>
      <c r="Y111" s="226"/>
      <c r="Z111" s="226"/>
      <c r="AA111" s="226"/>
      <c r="AB111" s="249"/>
      <c r="AC111" s="54"/>
      <c r="AD111" s="226"/>
      <c r="AE111" s="226"/>
      <c r="AF111" s="226"/>
      <c r="AG111" s="226"/>
      <c r="AH111" s="54"/>
    </row>
    <row r="112" spans="1:34" ht="14.25" customHeight="1" x14ac:dyDescent="0.25">
      <c r="A112" s="227"/>
      <c r="B112" s="228"/>
      <c r="C112" s="228"/>
      <c r="D112" s="228"/>
      <c r="E112" s="228"/>
      <c r="F112" s="228"/>
      <c r="G112" s="228"/>
      <c r="H112" s="228"/>
      <c r="I112" s="228"/>
      <c r="J112" s="228"/>
      <c r="K112" s="228"/>
      <c r="L112" s="228"/>
      <c r="M112" s="228"/>
      <c r="N112" s="228"/>
      <c r="O112" s="228"/>
      <c r="P112" s="228"/>
      <c r="Q112" s="228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9"/>
    </row>
    <row r="113" spans="1:34" s="4" customFormat="1" ht="14.25" customHeight="1" x14ac:dyDescent="0.25">
      <c r="A113" s="230"/>
      <c r="B113" s="231"/>
      <c r="C113" s="231"/>
      <c r="D113" s="231"/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2"/>
    </row>
    <row r="114" spans="1:34" ht="14.25" customHeight="1" x14ac:dyDescent="0.25">
      <c r="A114" s="230"/>
      <c r="B114" s="231"/>
      <c r="C114" s="231"/>
      <c r="D114" s="231"/>
      <c r="E114" s="231"/>
      <c r="F114" s="231"/>
      <c r="G114" s="231"/>
      <c r="H114" s="231"/>
      <c r="I114" s="231"/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  <c r="AF114" s="231"/>
      <c r="AG114" s="231"/>
      <c r="AH114" s="232"/>
    </row>
    <row r="115" spans="1:34" ht="14.25" customHeight="1" x14ac:dyDescent="0.25">
      <c r="A115" s="230"/>
      <c r="B115" s="231"/>
      <c r="C115" s="231"/>
      <c r="D115" s="231"/>
      <c r="E115" s="231"/>
      <c r="F115" s="231"/>
      <c r="G115" s="231"/>
      <c r="H115" s="231"/>
      <c r="I115" s="231"/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  <c r="AF115" s="231"/>
      <c r="AG115" s="231"/>
      <c r="AH115" s="232"/>
    </row>
    <row r="116" spans="1:34" ht="14.25" customHeight="1" x14ac:dyDescent="0.25">
      <c r="A116" s="230"/>
      <c r="B116" s="231"/>
      <c r="C116" s="231"/>
      <c r="D116" s="231"/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2"/>
    </row>
    <row r="117" spans="1:34" ht="14.25" customHeight="1" x14ac:dyDescent="0.25">
      <c r="A117" s="230"/>
      <c r="B117" s="231"/>
      <c r="C117" s="231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2"/>
    </row>
    <row r="118" spans="1:34" ht="14.25" customHeight="1" x14ac:dyDescent="0.25">
      <c r="A118" s="230"/>
      <c r="B118" s="231"/>
      <c r="C118" s="231"/>
      <c r="D118" s="231"/>
      <c r="E118" s="231"/>
      <c r="F118" s="231"/>
      <c r="G118" s="231"/>
      <c r="H118" s="231"/>
      <c r="I118" s="231"/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2"/>
    </row>
    <row r="119" spans="1:34" ht="14.25" customHeight="1" x14ac:dyDescent="0.25">
      <c r="A119" s="230"/>
      <c r="B119" s="231"/>
      <c r="C119" s="231"/>
      <c r="D119" s="231"/>
      <c r="E119" s="231"/>
      <c r="F119" s="231"/>
      <c r="G119" s="231"/>
      <c r="H119" s="231"/>
      <c r="I119" s="231"/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  <c r="U119" s="231"/>
      <c r="V119" s="231"/>
      <c r="W119" s="231"/>
      <c r="X119" s="231"/>
      <c r="Y119" s="231"/>
      <c r="Z119" s="231"/>
      <c r="AA119" s="231"/>
      <c r="AB119" s="231"/>
      <c r="AC119" s="231"/>
      <c r="AD119" s="231"/>
      <c r="AE119" s="231"/>
      <c r="AF119" s="231"/>
      <c r="AG119" s="231"/>
      <c r="AH119" s="232"/>
    </row>
    <row r="120" spans="1:34" ht="14.25" customHeight="1" thickBot="1" x14ac:dyDescent="0.3">
      <c r="A120" s="233"/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  <c r="Z120" s="234"/>
      <c r="AA120" s="234"/>
      <c r="AB120" s="234"/>
      <c r="AC120" s="234"/>
      <c r="AD120" s="234"/>
      <c r="AE120" s="234"/>
      <c r="AF120" s="234"/>
      <c r="AG120" s="234"/>
      <c r="AH120" s="235"/>
    </row>
    <row r="121" spans="1:34" ht="14.25" customHeight="1" thickBot="1" x14ac:dyDescent="0.3">
      <c r="A121" s="223" t="s">
        <v>165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P121" s="637" t="s">
        <v>282</v>
      </c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621"/>
      <c r="AE121" s="621"/>
      <c r="AF121" s="621"/>
      <c r="AG121" s="621"/>
      <c r="AH121" s="622"/>
    </row>
    <row r="122" spans="1:34" ht="14.25" customHeight="1" x14ac:dyDescent="0.25">
      <c r="A122" s="598" t="s">
        <v>142</v>
      </c>
      <c r="B122" s="599"/>
      <c r="C122" s="600"/>
      <c r="D122" s="598" t="s">
        <v>143</v>
      </c>
      <c r="E122" s="599"/>
      <c r="F122" s="600"/>
      <c r="G122" s="604" t="s">
        <v>144</v>
      </c>
      <c r="H122" s="605"/>
      <c r="I122" s="606"/>
      <c r="J122" s="604" t="s">
        <v>146</v>
      </c>
      <c r="K122" s="599"/>
      <c r="L122" s="600"/>
      <c r="M122" s="604" t="s">
        <v>159</v>
      </c>
      <c r="N122" s="605"/>
      <c r="O122" s="606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4"/>
    </row>
    <row r="123" spans="1:34" ht="14.25" customHeight="1" thickBot="1" x14ac:dyDescent="0.3">
      <c r="A123" s="601"/>
      <c r="B123" s="602"/>
      <c r="C123" s="603"/>
      <c r="D123" s="601"/>
      <c r="E123" s="602"/>
      <c r="F123" s="603"/>
      <c r="G123" s="607"/>
      <c r="H123" s="608"/>
      <c r="I123" s="609"/>
      <c r="J123" s="601"/>
      <c r="K123" s="602"/>
      <c r="L123" s="603"/>
      <c r="M123" s="607"/>
      <c r="N123" s="608"/>
      <c r="O123" s="609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4"/>
    </row>
    <row r="124" spans="1:34" ht="14.25" customHeight="1" x14ac:dyDescent="0.25">
      <c r="A124" s="220">
        <v>0</v>
      </c>
      <c r="B124" s="221"/>
      <c r="C124" s="222"/>
      <c r="D124" s="220">
        <v>10.29</v>
      </c>
      <c r="E124" s="221"/>
      <c r="F124" s="222"/>
      <c r="G124" s="220" t="s">
        <v>301</v>
      </c>
      <c r="H124" s="221"/>
      <c r="I124" s="222"/>
      <c r="J124" s="632" t="s">
        <v>317</v>
      </c>
      <c r="K124" s="221"/>
      <c r="L124" s="222"/>
      <c r="M124" s="220" t="s">
        <v>295</v>
      </c>
      <c r="N124" s="221"/>
      <c r="O124" s="221"/>
      <c r="P124" s="625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4"/>
    </row>
    <row r="125" spans="1:34" ht="14.25" customHeight="1" x14ac:dyDescent="0.25">
      <c r="A125" s="220">
        <v>15</v>
      </c>
      <c r="B125" s="221"/>
      <c r="C125" s="222"/>
      <c r="D125" s="220">
        <v>9.4700000000000006</v>
      </c>
      <c r="E125" s="221"/>
      <c r="F125" s="222"/>
      <c r="G125" s="220" t="s">
        <v>301</v>
      </c>
      <c r="H125" s="221"/>
      <c r="I125" s="222"/>
      <c r="J125" s="632" t="s">
        <v>317</v>
      </c>
      <c r="K125" s="221"/>
      <c r="L125" s="222"/>
      <c r="M125" s="220" t="s">
        <v>295</v>
      </c>
      <c r="N125" s="221"/>
      <c r="O125" s="221"/>
      <c r="P125" s="625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4"/>
    </row>
    <row r="126" spans="1:34" ht="14.25" customHeight="1" x14ac:dyDescent="0.25">
      <c r="A126" s="220">
        <v>27</v>
      </c>
      <c r="B126" s="221"/>
      <c r="C126" s="222"/>
      <c r="D126" s="220">
        <v>10.07</v>
      </c>
      <c r="E126" s="221"/>
      <c r="F126" s="222"/>
      <c r="G126" s="220" t="s">
        <v>302</v>
      </c>
      <c r="H126" s="221"/>
      <c r="I126" s="222"/>
      <c r="J126" s="632" t="s">
        <v>317</v>
      </c>
      <c r="K126" s="221"/>
      <c r="L126" s="222"/>
      <c r="M126" s="220" t="s">
        <v>295</v>
      </c>
      <c r="N126" s="221"/>
      <c r="O126" s="221"/>
      <c r="P126" s="625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4"/>
    </row>
    <row r="127" spans="1:34" ht="14.25" customHeight="1" x14ac:dyDescent="0.25">
      <c r="A127" s="220">
        <v>28</v>
      </c>
      <c r="B127" s="221"/>
      <c r="C127" s="222"/>
      <c r="D127" s="220">
        <v>10.07</v>
      </c>
      <c r="E127" s="221"/>
      <c r="F127" s="222"/>
      <c r="G127" s="220" t="s">
        <v>303</v>
      </c>
      <c r="H127" s="221"/>
      <c r="I127" s="222"/>
      <c r="J127" s="220" t="s">
        <v>317</v>
      </c>
      <c r="K127" s="221"/>
      <c r="L127" s="222"/>
      <c r="M127" s="220" t="s">
        <v>295</v>
      </c>
      <c r="N127" s="221"/>
      <c r="O127" s="221"/>
      <c r="P127" s="625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4"/>
    </row>
    <row r="128" spans="1:34" ht="14.25" customHeight="1" x14ac:dyDescent="0.25">
      <c r="A128" s="220">
        <v>29</v>
      </c>
      <c r="B128" s="221"/>
      <c r="C128" s="222"/>
      <c r="D128" s="220">
        <v>10.1</v>
      </c>
      <c r="E128" s="221"/>
      <c r="F128" s="222"/>
      <c r="G128" s="220" t="s">
        <v>304</v>
      </c>
      <c r="H128" s="221"/>
      <c r="I128" s="222"/>
      <c r="J128" s="220" t="s">
        <v>317</v>
      </c>
      <c r="K128" s="221"/>
      <c r="L128" s="222"/>
      <c r="M128" s="220" t="s">
        <v>295</v>
      </c>
      <c r="N128" s="221"/>
      <c r="O128" s="221"/>
      <c r="P128" s="625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4"/>
    </row>
    <row r="129" spans="1:34" ht="14.25" customHeight="1" x14ac:dyDescent="0.25">
      <c r="A129" s="220">
        <v>73</v>
      </c>
      <c r="B129" s="221"/>
      <c r="C129" s="222"/>
      <c r="D129" s="220">
        <v>10.65</v>
      </c>
      <c r="E129" s="221"/>
      <c r="F129" s="222"/>
      <c r="G129" s="220" t="s">
        <v>304</v>
      </c>
      <c r="H129" s="221"/>
      <c r="I129" s="222"/>
      <c r="J129" s="220" t="s">
        <v>317</v>
      </c>
      <c r="K129" s="221"/>
      <c r="L129" s="222"/>
      <c r="M129" s="220" t="s">
        <v>293</v>
      </c>
      <c r="N129" s="221"/>
      <c r="O129" s="221"/>
      <c r="P129" s="625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4"/>
    </row>
    <row r="130" spans="1:34" ht="14.25" customHeight="1" x14ac:dyDescent="0.25">
      <c r="A130" s="220">
        <v>75</v>
      </c>
      <c r="B130" s="221"/>
      <c r="C130" s="222"/>
      <c r="D130" s="220">
        <v>10.64</v>
      </c>
      <c r="E130" s="221"/>
      <c r="F130" s="222"/>
      <c r="G130" s="220" t="s">
        <v>303</v>
      </c>
      <c r="H130" s="221"/>
      <c r="I130" s="222"/>
      <c r="J130" s="220" t="s">
        <v>317</v>
      </c>
      <c r="K130" s="221"/>
      <c r="L130" s="222"/>
      <c r="M130" s="220" t="s">
        <v>293</v>
      </c>
      <c r="N130" s="221"/>
      <c r="O130" s="221"/>
      <c r="P130" s="625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4"/>
    </row>
    <row r="131" spans="1:34" ht="14.25" customHeight="1" x14ac:dyDescent="0.25">
      <c r="A131" s="220">
        <v>77</v>
      </c>
      <c r="B131" s="221"/>
      <c r="C131" s="222"/>
      <c r="D131" s="220">
        <v>10.76</v>
      </c>
      <c r="E131" s="221"/>
      <c r="F131" s="222"/>
      <c r="G131" s="220" t="s">
        <v>302</v>
      </c>
      <c r="H131" s="221"/>
      <c r="I131" s="222"/>
      <c r="J131" s="220" t="s">
        <v>317</v>
      </c>
      <c r="K131" s="221"/>
      <c r="L131" s="222"/>
      <c r="M131" s="220" t="s">
        <v>293</v>
      </c>
      <c r="N131" s="221"/>
      <c r="O131" s="222"/>
      <c r="P131" s="625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4"/>
    </row>
    <row r="132" spans="1:34" ht="14.25" customHeight="1" x14ac:dyDescent="0.25">
      <c r="A132" s="220">
        <v>83</v>
      </c>
      <c r="B132" s="221"/>
      <c r="C132" s="222"/>
      <c r="D132" s="220">
        <v>9.65</v>
      </c>
      <c r="E132" s="221"/>
      <c r="F132" s="222"/>
      <c r="G132" s="220" t="s">
        <v>301</v>
      </c>
      <c r="H132" s="221"/>
      <c r="I132" s="222"/>
      <c r="J132" s="220" t="s">
        <v>318</v>
      </c>
      <c r="K132" s="221"/>
      <c r="L132" s="222"/>
      <c r="M132" s="220" t="s">
        <v>293</v>
      </c>
      <c r="N132" s="221"/>
      <c r="O132" s="221"/>
      <c r="P132" s="625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4"/>
    </row>
    <row r="133" spans="1:34" ht="14.25" customHeight="1" x14ac:dyDescent="0.25">
      <c r="A133" s="220">
        <v>115</v>
      </c>
      <c r="B133" s="221"/>
      <c r="C133" s="222"/>
      <c r="D133" s="220">
        <v>10.42</v>
      </c>
      <c r="E133" s="221"/>
      <c r="F133" s="222"/>
      <c r="G133" s="220" t="s">
        <v>301</v>
      </c>
      <c r="H133" s="221"/>
      <c r="I133" s="222"/>
      <c r="J133" s="220" t="s">
        <v>318</v>
      </c>
      <c r="K133" s="221"/>
      <c r="L133" s="222"/>
      <c r="M133" s="220" t="s">
        <v>293</v>
      </c>
      <c r="N133" s="221"/>
      <c r="O133" s="221"/>
      <c r="P133" s="625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4"/>
    </row>
    <row r="134" spans="1:34" ht="14.25" customHeight="1" x14ac:dyDescent="0.25">
      <c r="A134" s="220"/>
      <c r="B134" s="221"/>
      <c r="C134" s="222"/>
      <c r="D134" s="220"/>
      <c r="E134" s="221"/>
      <c r="F134" s="222"/>
      <c r="G134" s="220"/>
      <c r="H134" s="221"/>
      <c r="I134" s="222"/>
      <c r="J134" s="220"/>
      <c r="K134" s="221"/>
      <c r="L134" s="222"/>
      <c r="M134" s="220"/>
      <c r="N134" s="221"/>
      <c r="O134" s="221"/>
      <c r="P134" s="625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4"/>
    </row>
    <row r="135" spans="1:34" ht="14.25" customHeight="1" x14ac:dyDescent="0.25">
      <c r="A135" s="220"/>
      <c r="B135" s="221"/>
      <c r="C135" s="222"/>
      <c r="D135" s="220"/>
      <c r="E135" s="221"/>
      <c r="F135" s="222"/>
      <c r="G135" s="220"/>
      <c r="H135" s="221"/>
      <c r="I135" s="222"/>
      <c r="J135" s="220"/>
      <c r="K135" s="221"/>
      <c r="L135" s="222"/>
      <c r="M135" s="220"/>
      <c r="N135" s="221"/>
      <c r="O135" s="221"/>
      <c r="P135" s="625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4"/>
    </row>
    <row r="136" spans="1:34" ht="14.25" customHeight="1" x14ac:dyDescent="0.25">
      <c r="A136" s="220"/>
      <c r="B136" s="221"/>
      <c r="C136" s="222"/>
      <c r="D136" s="220"/>
      <c r="E136" s="221"/>
      <c r="F136" s="222"/>
      <c r="G136" s="220"/>
      <c r="H136" s="221"/>
      <c r="I136" s="222"/>
      <c r="J136" s="220"/>
      <c r="K136" s="221"/>
      <c r="L136" s="222"/>
      <c r="M136" s="220"/>
      <c r="N136" s="221"/>
      <c r="O136" s="222"/>
      <c r="P136" s="625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4"/>
    </row>
    <row r="137" spans="1:34" ht="14.25" customHeight="1" x14ac:dyDescent="0.25">
      <c r="A137" s="220"/>
      <c r="B137" s="221"/>
      <c r="C137" s="222"/>
      <c r="D137" s="220"/>
      <c r="E137" s="221"/>
      <c r="F137" s="222"/>
      <c r="G137" s="220"/>
      <c r="H137" s="221"/>
      <c r="I137" s="222"/>
      <c r="J137" s="220"/>
      <c r="K137" s="221"/>
      <c r="L137" s="222"/>
      <c r="M137" s="220"/>
      <c r="N137" s="221"/>
      <c r="O137" s="222"/>
      <c r="P137" s="625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4"/>
    </row>
    <row r="138" spans="1:34" ht="14.25" customHeight="1" x14ac:dyDescent="0.25">
      <c r="A138" s="220"/>
      <c r="B138" s="221"/>
      <c r="C138" s="222"/>
      <c r="D138" s="220"/>
      <c r="E138" s="221"/>
      <c r="F138" s="222"/>
      <c r="G138" s="220"/>
      <c r="H138" s="221"/>
      <c r="I138" s="222"/>
      <c r="J138" s="220"/>
      <c r="K138" s="221"/>
      <c r="L138" s="222"/>
      <c r="M138" s="220"/>
      <c r="N138" s="221"/>
      <c r="O138" s="222"/>
      <c r="P138" s="625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4"/>
    </row>
    <row r="139" spans="1:34" ht="14.25" customHeight="1" x14ac:dyDescent="0.25">
      <c r="A139" s="220"/>
      <c r="B139" s="221"/>
      <c r="C139" s="222"/>
      <c r="D139" s="220"/>
      <c r="E139" s="221"/>
      <c r="F139" s="222"/>
      <c r="G139" s="220"/>
      <c r="H139" s="221"/>
      <c r="I139" s="222"/>
      <c r="J139" s="220"/>
      <c r="K139" s="221"/>
      <c r="L139" s="222"/>
      <c r="M139" s="220"/>
      <c r="N139" s="221"/>
      <c r="O139" s="221"/>
      <c r="P139" s="625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23"/>
      <c r="AE139" s="623"/>
      <c r="AF139" s="623"/>
      <c r="AG139" s="623"/>
      <c r="AH139" s="624"/>
    </row>
    <row r="140" spans="1:34" ht="14.25" customHeight="1" thickBot="1" x14ac:dyDescent="0.3">
      <c r="A140" s="407"/>
      <c r="B140" s="408"/>
      <c r="C140" s="409"/>
      <c r="D140" s="407"/>
      <c r="E140" s="408"/>
      <c r="F140" s="409"/>
      <c r="G140" s="407"/>
      <c r="H140" s="408"/>
      <c r="I140" s="409"/>
      <c r="J140" s="407"/>
      <c r="K140" s="408"/>
      <c r="L140" s="409"/>
      <c r="M140" s="407"/>
      <c r="N140" s="408"/>
      <c r="O140" s="408"/>
      <c r="P140" s="626"/>
      <c r="Q140" s="627"/>
      <c r="R140" s="627"/>
      <c r="S140" s="627"/>
      <c r="T140" s="627"/>
      <c r="U140" s="627"/>
      <c r="V140" s="627"/>
      <c r="W140" s="627"/>
      <c r="X140" s="627"/>
      <c r="Y140" s="627"/>
      <c r="Z140" s="627"/>
      <c r="AA140" s="627"/>
      <c r="AB140" s="627"/>
      <c r="AC140" s="627"/>
      <c r="AD140" s="627"/>
      <c r="AE140" s="627"/>
      <c r="AF140" s="627"/>
      <c r="AG140" s="627"/>
      <c r="AH140" s="628"/>
    </row>
    <row r="141" spans="1:34" ht="14.25" customHeight="1" x14ac:dyDescent="0.25">
      <c r="Q141" s="39" t="s">
        <v>164</v>
      </c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630">
        <v>4.99</v>
      </c>
      <c r="AF141" s="631"/>
      <c r="AG141" s="631"/>
      <c r="AH141" s="55" t="s">
        <v>293</v>
      </c>
    </row>
    <row r="142" spans="1:34" ht="3" customHeight="1" x14ac:dyDescent="0.25"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98"/>
      <c r="AF142" s="98"/>
      <c r="AG142" s="98"/>
      <c r="AH142" s="18"/>
    </row>
    <row r="143" spans="1:34" ht="3" customHeight="1" thickBot="1" x14ac:dyDescent="0.3">
      <c r="A143" s="116"/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</row>
    <row r="144" spans="1:34" ht="16.5" thickTop="1" thickBot="1" x14ac:dyDescent="0.3">
      <c r="A144" s="318" t="s">
        <v>221</v>
      </c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  <c r="Z144" s="318"/>
      <c r="AA144" s="318"/>
      <c r="AB144" s="318"/>
      <c r="AC144" s="318"/>
      <c r="AD144" s="318"/>
      <c r="AE144" s="318"/>
      <c r="AF144" s="318"/>
      <c r="AG144" s="318"/>
      <c r="AH144" s="318"/>
    </row>
    <row r="145" spans="1:34" ht="6" customHeight="1" thickTop="1" x14ac:dyDescent="0.25">
      <c r="X145" s="30"/>
    </row>
    <row r="146" spans="1:34" ht="14.65" customHeight="1" x14ac:dyDescent="0.25">
      <c r="A146" s="45"/>
      <c r="B146" s="45"/>
      <c r="C146" s="45"/>
      <c r="D146" s="45"/>
      <c r="E146" s="45"/>
      <c r="F146" s="501" t="s">
        <v>11</v>
      </c>
      <c r="G146" s="501"/>
      <c r="H146" s="501"/>
      <c r="I146" s="501"/>
      <c r="J146" s="501"/>
      <c r="K146" s="501"/>
      <c r="L146" s="501"/>
      <c r="M146" s="501"/>
      <c r="N146" s="58"/>
      <c r="O146" s="501" t="s">
        <v>12</v>
      </c>
      <c r="P146" s="501"/>
      <c r="Q146" s="501"/>
      <c r="R146" s="501"/>
      <c r="S146" s="501"/>
      <c r="T146" s="501"/>
      <c r="U146" s="501"/>
      <c r="V146" s="501"/>
      <c r="W146" s="501"/>
      <c r="X146" s="501"/>
      <c r="Y146" s="56"/>
      <c r="Z146" s="57" t="s">
        <v>8</v>
      </c>
      <c r="AA146" s="56"/>
      <c r="AB146" s="56"/>
      <c r="AC146" s="56"/>
      <c r="AD146" s="56"/>
      <c r="AE146" s="56"/>
      <c r="AF146" s="31"/>
      <c r="AG146" s="31"/>
      <c r="AH146" s="32"/>
    </row>
    <row r="147" spans="1:34" ht="120.75" customHeight="1" x14ac:dyDescent="0.25">
      <c r="A147" s="502" t="s">
        <v>38</v>
      </c>
      <c r="B147" s="502"/>
      <c r="C147" s="502"/>
      <c r="D147" s="502"/>
      <c r="E147" s="502"/>
      <c r="F147" s="529">
        <v>3</v>
      </c>
      <c r="G147" s="529"/>
      <c r="H147" s="529"/>
      <c r="I147" s="529"/>
      <c r="J147" s="529"/>
      <c r="K147" s="529"/>
      <c r="L147" s="529"/>
      <c r="M147" s="529"/>
      <c r="N147" s="529"/>
      <c r="O147" s="529"/>
      <c r="P147" s="528">
        <v>3</v>
      </c>
      <c r="Q147" s="528"/>
      <c r="R147" s="528"/>
      <c r="S147" s="528"/>
      <c r="T147" s="528"/>
      <c r="U147" s="528"/>
      <c r="V147" s="528"/>
      <c r="W147" s="528"/>
      <c r="X147" s="528"/>
      <c r="Y147" s="528"/>
      <c r="Z147" s="499" t="s">
        <v>161</v>
      </c>
      <c r="AA147" s="500"/>
      <c r="AB147" s="500"/>
      <c r="AC147" s="500"/>
      <c r="AD147" s="500"/>
      <c r="AE147" s="500"/>
      <c r="AF147" s="500"/>
      <c r="AG147" s="500"/>
      <c r="AH147" s="500"/>
    </row>
    <row r="148" spans="1:34" ht="72.75" customHeight="1" x14ac:dyDescent="0.25">
      <c r="A148" s="502" t="s">
        <v>160</v>
      </c>
      <c r="B148" s="502"/>
      <c r="C148" s="502"/>
      <c r="D148" s="502"/>
      <c r="E148" s="502"/>
      <c r="F148" s="530">
        <v>2</v>
      </c>
      <c r="G148" s="530"/>
      <c r="H148" s="530"/>
      <c r="I148" s="530"/>
      <c r="J148" s="530"/>
      <c r="K148" s="530"/>
      <c r="L148" s="530"/>
      <c r="M148" s="530"/>
      <c r="N148" s="530"/>
      <c r="O148" s="530"/>
      <c r="P148" s="531">
        <v>2</v>
      </c>
      <c r="Q148" s="531"/>
      <c r="R148" s="531"/>
      <c r="S148" s="531"/>
      <c r="T148" s="531"/>
      <c r="U148" s="531"/>
      <c r="V148" s="531"/>
      <c r="W148" s="531"/>
      <c r="X148" s="531"/>
      <c r="Y148" s="531"/>
      <c r="Z148" s="500"/>
      <c r="AA148" s="500"/>
      <c r="AB148" s="500"/>
      <c r="AC148" s="500"/>
      <c r="AD148" s="500"/>
      <c r="AE148" s="500"/>
      <c r="AF148" s="500"/>
      <c r="AG148" s="500"/>
      <c r="AH148" s="500"/>
    </row>
    <row r="149" spans="1:34" ht="6" customHeight="1" x14ac:dyDescent="0.25"/>
    <row r="150" spans="1:34" ht="15" customHeight="1" x14ac:dyDescent="0.25">
      <c r="A150" s="568" t="s">
        <v>116</v>
      </c>
      <c r="B150" s="568"/>
      <c r="C150" s="568"/>
      <c r="D150" s="568"/>
      <c r="E150" s="568"/>
      <c r="F150" s="568"/>
      <c r="G150" s="568"/>
      <c r="H150" s="568"/>
      <c r="I150" s="568"/>
      <c r="J150" s="568"/>
      <c r="K150" s="568"/>
      <c r="L150" s="568"/>
      <c r="M150" s="568"/>
      <c r="N150" s="568"/>
      <c r="O150" s="568"/>
      <c r="P150" s="568"/>
      <c r="Q150" s="568"/>
      <c r="R150" s="568"/>
      <c r="S150" s="568"/>
      <c r="T150" s="568"/>
      <c r="U150" s="568"/>
      <c r="V150" s="568"/>
      <c r="W150" s="568"/>
      <c r="X150" s="568"/>
      <c r="Y150" s="568"/>
      <c r="Z150" s="568"/>
      <c r="AA150" s="568"/>
      <c r="AB150" s="568"/>
      <c r="AC150" s="568"/>
      <c r="AD150" s="568"/>
      <c r="AE150" s="568"/>
      <c r="AF150" s="568"/>
      <c r="AG150" s="568"/>
      <c r="AH150" s="568"/>
    </row>
    <row r="151" spans="1:34" ht="15" customHeight="1" x14ac:dyDescent="0.25">
      <c r="A151" s="534"/>
      <c r="B151" s="535"/>
      <c r="C151" s="535"/>
      <c r="D151" s="535"/>
      <c r="E151" s="535"/>
      <c r="F151" s="535"/>
      <c r="G151" s="535"/>
      <c r="H151" s="535"/>
      <c r="I151" s="535"/>
      <c r="J151" s="535"/>
      <c r="K151" s="535"/>
      <c r="L151" s="535"/>
      <c r="M151" s="535"/>
      <c r="N151" s="535"/>
      <c r="O151" s="535"/>
      <c r="P151" s="535"/>
      <c r="Q151" s="535"/>
      <c r="R151" s="535"/>
      <c r="S151" s="535"/>
      <c r="T151" s="535"/>
      <c r="U151" s="535"/>
      <c r="V151" s="535"/>
      <c r="W151" s="535"/>
      <c r="X151" s="535"/>
      <c r="Y151" s="535"/>
      <c r="Z151" s="535"/>
      <c r="AA151" s="535"/>
      <c r="AB151" s="535"/>
      <c r="AC151" s="535"/>
      <c r="AD151" s="535"/>
      <c r="AE151" s="535"/>
      <c r="AF151" s="535"/>
      <c r="AG151" s="535"/>
      <c r="AH151" s="536"/>
    </row>
    <row r="152" spans="1:34" ht="15" customHeight="1" x14ac:dyDescent="0.25">
      <c r="A152" s="537"/>
      <c r="B152" s="538"/>
      <c r="C152" s="538"/>
      <c r="D152" s="538"/>
      <c r="E152" s="538"/>
      <c r="F152" s="538"/>
      <c r="G152" s="538"/>
      <c r="H152" s="538"/>
      <c r="I152" s="538"/>
      <c r="J152" s="538"/>
      <c r="K152" s="538"/>
      <c r="L152" s="538"/>
      <c r="M152" s="538"/>
      <c r="N152" s="538"/>
      <c r="O152" s="538"/>
      <c r="P152" s="538"/>
      <c r="Q152" s="538"/>
      <c r="R152" s="538"/>
      <c r="S152" s="538"/>
      <c r="T152" s="538"/>
      <c r="U152" s="538"/>
      <c r="V152" s="538"/>
      <c r="W152" s="538"/>
      <c r="X152" s="538"/>
      <c r="Y152" s="538"/>
      <c r="Z152" s="538"/>
      <c r="AA152" s="538"/>
      <c r="AB152" s="538"/>
      <c r="AC152" s="538"/>
      <c r="AD152" s="538"/>
      <c r="AE152" s="538"/>
      <c r="AF152" s="538"/>
      <c r="AG152" s="538"/>
      <c r="AH152" s="539"/>
    </row>
    <row r="153" spans="1:34" ht="15" customHeight="1" x14ac:dyDescent="0.25">
      <c r="Z153" s="629" t="s">
        <v>11</v>
      </c>
      <c r="AA153" s="629"/>
      <c r="AB153" s="629"/>
      <c r="AC153" s="629"/>
      <c r="AD153" s="122"/>
      <c r="AE153" s="458" t="s">
        <v>12</v>
      </c>
      <c r="AF153" s="458"/>
      <c r="AG153" s="458"/>
      <c r="AH153" s="458"/>
    </row>
    <row r="154" spans="1:34" ht="15" customHeight="1" x14ac:dyDescent="0.25">
      <c r="D154" s="346" t="s">
        <v>192</v>
      </c>
      <c r="E154" s="346"/>
      <c r="F154" s="346"/>
      <c r="G154" s="346"/>
      <c r="H154" s="346"/>
      <c r="I154" s="346"/>
      <c r="J154" s="346"/>
      <c r="K154" s="346"/>
      <c r="L154" s="346"/>
      <c r="M154" s="346"/>
      <c r="N154" s="346"/>
      <c r="O154" s="346"/>
      <c r="P154" s="346"/>
      <c r="Q154" s="346"/>
      <c r="R154" s="346"/>
      <c r="S154" s="346"/>
      <c r="T154" s="346"/>
      <c r="U154" s="346"/>
      <c r="V154" s="346"/>
      <c r="W154" s="346"/>
      <c r="X154" s="346"/>
      <c r="Z154" s="424">
        <f>U260</f>
        <v>0</v>
      </c>
      <c r="AA154" s="423"/>
      <c r="AB154" s="423"/>
      <c r="AC154" s="437"/>
      <c r="AE154" s="424">
        <f>Z260</f>
        <v>0</v>
      </c>
      <c r="AF154" s="423"/>
      <c r="AG154" s="423"/>
      <c r="AH154" s="437"/>
    </row>
    <row r="155" spans="1:34" ht="15" customHeight="1" x14ac:dyDescent="0.25">
      <c r="A155" s="47"/>
      <c r="B155" s="47"/>
      <c r="C155" s="47"/>
      <c r="D155" s="346" t="s">
        <v>186</v>
      </c>
      <c r="E155" s="346"/>
      <c r="F155" s="346"/>
      <c r="G155" s="346"/>
      <c r="H155" s="346"/>
      <c r="I155" s="346"/>
      <c r="J155" s="346"/>
      <c r="K155" s="346"/>
      <c r="L155" s="346"/>
      <c r="M155" s="346"/>
      <c r="N155" s="346"/>
      <c r="O155" s="346"/>
      <c r="P155" s="346"/>
      <c r="Q155" s="346"/>
      <c r="R155" s="346"/>
      <c r="S155" s="346"/>
      <c r="T155" s="346"/>
      <c r="U155" s="346"/>
      <c r="V155" s="346"/>
      <c r="W155" s="346"/>
      <c r="X155" s="346"/>
      <c r="Z155" s="424"/>
      <c r="AA155" s="423"/>
      <c r="AB155" s="423"/>
      <c r="AC155" s="437"/>
      <c r="AE155" s="424"/>
      <c r="AF155" s="423"/>
      <c r="AG155" s="423"/>
      <c r="AH155" s="437"/>
    </row>
    <row r="156" spans="1:34" ht="15" customHeight="1" x14ac:dyDescent="0.25">
      <c r="X156" s="30"/>
    </row>
    <row r="157" spans="1:34" ht="13.5" customHeight="1" x14ac:dyDescent="0.25">
      <c r="A157" s="584" t="s">
        <v>225</v>
      </c>
      <c r="B157" s="584"/>
      <c r="C157" s="584"/>
      <c r="D157" s="584"/>
      <c r="E157" s="584"/>
      <c r="F157" s="584"/>
      <c r="G157" s="584"/>
      <c r="H157" s="584"/>
      <c r="I157" s="471" t="s">
        <v>153</v>
      </c>
      <c r="J157" s="471"/>
      <c r="K157" s="471"/>
      <c r="L157" s="471"/>
      <c r="M157" s="471"/>
      <c r="N157" s="471"/>
      <c r="O157" s="471"/>
      <c r="P157" s="471" t="s">
        <v>154</v>
      </c>
      <c r="Q157" s="471"/>
      <c r="R157" s="471"/>
      <c r="S157" s="471"/>
      <c r="T157" s="471"/>
      <c r="U157" s="471"/>
      <c r="V157" s="471"/>
      <c r="W157" s="471" t="s">
        <v>155</v>
      </c>
      <c r="X157" s="471"/>
      <c r="Y157" s="471"/>
      <c r="Z157" s="471"/>
      <c r="AA157" s="471"/>
      <c r="AB157" s="471"/>
      <c r="AC157" s="471"/>
      <c r="AD157" s="471"/>
      <c r="AE157" s="471"/>
      <c r="AF157" s="471"/>
      <c r="AG157" s="471"/>
      <c r="AH157" s="471"/>
    </row>
    <row r="158" spans="1:34" ht="15" customHeight="1" x14ac:dyDescent="0.25">
      <c r="A158" s="584"/>
      <c r="B158" s="584"/>
      <c r="C158" s="584"/>
      <c r="D158" s="584"/>
      <c r="E158" s="584"/>
      <c r="F158" s="584"/>
      <c r="G158" s="584"/>
      <c r="H158" s="584"/>
      <c r="I158" s="471"/>
      <c r="J158" s="471"/>
      <c r="K158" s="471"/>
      <c r="L158" s="471"/>
      <c r="M158" s="471"/>
      <c r="N158" s="471"/>
      <c r="O158" s="471"/>
      <c r="P158" s="471"/>
      <c r="Q158" s="471"/>
      <c r="R158" s="471"/>
      <c r="S158" s="471"/>
      <c r="T158" s="471"/>
      <c r="U158" s="471"/>
      <c r="V158" s="471"/>
      <c r="W158" s="471"/>
      <c r="X158" s="471"/>
      <c r="Y158" s="471"/>
      <c r="Z158" s="471"/>
      <c r="AA158" s="471"/>
      <c r="AB158" s="471"/>
      <c r="AC158" s="471"/>
      <c r="AD158" s="471"/>
      <c r="AE158" s="471"/>
      <c r="AF158" s="471"/>
      <c r="AG158" s="471"/>
      <c r="AH158" s="471"/>
    </row>
    <row r="159" spans="1:34" ht="15" customHeight="1" x14ac:dyDescent="0.25">
      <c r="A159" s="584"/>
      <c r="B159" s="584"/>
      <c r="C159" s="584"/>
      <c r="D159" s="584"/>
      <c r="E159" s="584"/>
      <c r="F159" s="584"/>
      <c r="G159" s="584"/>
      <c r="H159" s="584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1"/>
      <c r="AC159" s="471"/>
      <c r="AD159" s="471"/>
      <c r="AE159" s="471"/>
      <c r="AF159" s="471"/>
      <c r="AG159" s="471"/>
      <c r="AH159" s="471"/>
    </row>
    <row r="160" spans="1:34" ht="14.65" customHeight="1" x14ac:dyDescent="0.25">
      <c r="A160" s="584"/>
      <c r="B160" s="584"/>
      <c r="C160" s="584"/>
      <c r="D160" s="584"/>
      <c r="E160" s="584"/>
      <c r="F160" s="584"/>
      <c r="G160" s="584"/>
      <c r="H160" s="584"/>
      <c r="I160" s="471"/>
      <c r="J160" s="471"/>
      <c r="K160" s="471"/>
      <c r="L160" s="471"/>
      <c r="M160" s="471"/>
      <c r="N160" s="471"/>
      <c r="O160" s="471"/>
      <c r="P160" s="471"/>
      <c r="Q160" s="471"/>
      <c r="R160" s="471"/>
      <c r="S160" s="471"/>
      <c r="T160" s="471"/>
      <c r="U160" s="471"/>
      <c r="V160" s="471"/>
      <c r="W160" s="471"/>
      <c r="X160" s="471"/>
      <c r="Y160" s="471"/>
      <c r="Z160" s="471"/>
      <c r="AA160" s="471"/>
      <c r="AB160" s="471"/>
      <c r="AC160" s="471"/>
      <c r="AD160" s="471"/>
      <c r="AE160" s="471"/>
      <c r="AF160" s="471"/>
      <c r="AG160" s="471"/>
      <c r="AH160" s="471"/>
    </row>
    <row r="161" spans="1:34" ht="14.65" customHeight="1" x14ac:dyDescent="0.25">
      <c r="A161" s="584"/>
      <c r="B161" s="584"/>
      <c r="C161" s="584"/>
      <c r="D161" s="584"/>
      <c r="E161" s="584"/>
      <c r="F161" s="584"/>
      <c r="G161" s="584"/>
      <c r="H161" s="584"/>
      <c r="I161" s="471"/>
      <c r="J161" s="471"/>
      <c r="K161" s="471"/>
      <c r="L161" s="471"/>
      <c r="M161" s="471"/>
      <c r="N161" s="471"/>
      <c r="O161" s="471"/>
      <c r="P161" s="471"/>
      <c r="Q161" s="471"/>
      <c r="R161" s="471"/>
      <c r="S161" s="471"/>
      <c r="T161" s="471"/>
      <c r="U161" s="471"/>
      <c r="V161" s="471"/>
      <c r="W161" s="471"/>
      <c r="X161" s="471"/>
      <c r="Y161" s="471"/>
      <c r="Z161" s="471"/>
      <c r="AA161" s="471"/>
      <c r="AB161" s="471"/>
      <c r="AC161" s="471"/>
      <c r="AD161" s="471"/>
      <c r="AE161" s="471"/>
      <c r="AF161" s="471"/>
      <c r="AG161" s="471"/>
      <c r="AH161" s="471"/>
    </row>
    <row r="162" spans="1:34" ht="14.25" customHeight="1" x14ac:dyDescent="0.25">
      <c r="A162" s="584"/>
      <c r="B162" s="584"/>
      <c r="C162" s="584"/>
      <c r="D162" s="584"/>
      <c r="E162" s="584"/>
      <c r="F162" s="584"/>
      <c r="G162" s="584"/>
      <c r="H162" s="584"/>
      <c r="I162" s="471"/>
      <c r="J162" s="471"/>
      <c r="K162" s="471"/>
      <c r="L162" s="471"/>
      <c r="M162" s="471"/>
      <c r="N162" s="471"/>
      <c r="O162" s="471"/>
      <c r="P162" s="471"/>
      <c r="Q162" s="471"/>
      <c r="R162" s="471"/>
      <c r="S162" s="471"/>
      <c r="T162" s="471"/>
      <c r="U162" s="471"/>
      <c r="V162" s="471"/>
      <c r="W162" s="471"/>
      <c r="X162" s="471"/>
      <c r="Y162" s="471"/>
      <c r="Z162" s="471"/>
      <c r="AA162" s="471"/>
      <c r="AB162" s="471"/>
      <c r="AC162" s="471"/>
      <c r="AD162" s="471"/>
      <c r="AE162" s="471"/>
      <c r="AF162" s="471"/>
      <c r="AG162" s="471"/>
      <c r="AH162" s="471"/>
    </row>
    <row r="163" spans="1:34" s="13" customFormat="1" ht="14.25" customHeight="1" x14ac:dyDescent="0.25">
      <c r="A163" s="584"/>
      <c r="B163" s="584"/>
      <c r="C163" s="584"/>
      <c r="D163" s="584"/>
      <c r="E163" s="584"/>
      <c r="F163" s="584"/>
      <c r="G163" s="584"/>
      <c r="H163" s="584"/>
      <c r="I163" s="471"/>
      <c r="J163" s="471"/>
      <c r="K163" s="471"/>
      <c r="L163" s="471"/>
      <c r="M163" s="471"/>
      <c r="N163" s="471"/>
      <c r="O163" s="471"/>
      <c r="P163" s="471"/>
      <c r="Q163" s="471"/>
      <c r="R163" s="471"/>
      <c r="S163" s="471"/>
      <c r="T163" s="471"/>
      <c r="U163" s="471"/>
      <c r="V163" s="471"/>
      <c r="W163" s="471"/>
      <c r="X163" s="471"/>
      <c r="Y163" s="471"/>
      <c r="Z163" s="471"/>
      <c r="AA163" s="471"/>
      <c r="AB163" s="471"/>
      <c r="AC163" s="471"/>
      <c r="AD163" s="471"/>
      <c r="AE163" s="471"/>
      <c r="AF163" s="471"/>
      <c r="AG163" s="471"/>
      <c r="AH163" s="471"/>
    </row>
    <row r="164" spans="1:34" ht="14.65" customHeight="1" x14ac:dyDescent="0.25">
      <c r="A164" s="532" t="s">
        <v>156</v>
      </c>
      <c r="B164" s="532"/>
      <c r="C164" s="532"/>
      <c r="D164" s="532"/>
      <c r="E164" s="532"/>
      <c r="F164" s="532"/>
      <c r="G164" s="532"/>
      <c r="H164" s="532"/>
      <c r="I164" s="533" t="b">
        <v>0</v>
      </c>
      <c r="J164" s="533"/>
      <c r="K164" s="533"/>
      <c r="L164" s="533"/>
      <c r="M164" s="533"/>
      <c r="N164" s="533"/>
      <c r="O164" s="533"/>
      <c r="P164" s="472"/>
      <c r="Q164" s="472"/>
      <c r="R164" s="472"/>
      <c r="S164" s="472"/>
      <c r="T164" s="472"/>
      <c r="U164" s="472"/>
      <c r="V164" s="472"/>
      <c r="W164" s="472" t="b">
        <v>0</v>
      </c>
      <c r="X164" s="472"/>
      <c r="Y164" s="472"/>
      <c r="Z164" s="472"/>
      <c r="AA164" s="472"/>
      <c r="AB164" s="472"/>
      <c r="AC164" s="472"/>
      <c r="AD164" s="472"/>
      <c r="AE164" s="472"/>
      <c r="AF164" s="472"/>
      <c r="AG164" s="472"/>
      <c r="AH164" s="472"/>
    </row>
    <row r="165" spans="1:34" ht="14.65" customHeight="1" x14ac:dyDescent="0.25">
      <c r="A165" s="532" t="s">
        <v>157</v>
      </c>
      <c r="B165" s="532"/>
      <c r="C165" s="532"/>
      <c r="D165" s="532"/>
      <c r="E165" s="532"/>
      <c r="F165" s="532"/>
      <c r="G165" s="532"/>
      <c r="H165" s="532"/>
      <c r="I165" s="533"/>
      <c r="J165" s="533"/>
      <c r="K165" s="533"/>
      <c r="L165" s="533"/>
      <c r="M165" s="533"/>
      <c r="N165" s="533"/>
      <c r="O165" s="533"/>
      <c r="P165" s="472"/>
      <c r="Q165" s="472"/>
      <c r="R165" s="472"/>
      <c r="S165" s="472"/>
      <c r="T165" s="472"/>
      <c r="U165" s="472"/>
      <c r="V165" s="472"/>
      <c r="W165" s="472" t="b">
        <v>0</v>
      </c>
      <c r="X165" s="472"/>
      <c r="Y165" s="472"/>
      <c r="Z165" s="472"/>
      <c r="AA165" s="472"/>
      <c r="AB165" s="472"/>
      <c r="AC165" s="472"/>
      <c r="AD165" s="472"/>
      <c r="AE165" s="472"/>
      <c r="AF165" s="472"/>
      <c r="AG165" s="472"/>
      <c r="AH165" s="472"/>
    </row>
    <row r="166" spans="1:34" ht="14.65" customHeight="1" x14ac:dyDescent="0.25">
      <c r="A166" s="532"/>
      <c r="B166" s="532"/>
      <c r="C166" s="532"/>
      <c r="D166" s="532"/>
      <c r="E166" s="532"/>
      <c r="F166" s="532"/>
      <c r="G166" s="532"/>
      <c r="H166" s="532"/>
      <c r="I166" s="533"/>
      <c r="J166" s="533"/>
      <c r="K166" s="533"/>
      <c r="L166" s="533"/>
      <c r="M166" s="533"/>
      <c r="N166" s="533"/>
      <c r="O166" s="533"/>
      <c r="P166" s="472"/>
      <c r="Q166" s="472"/>
      <c r="R166" s="472"/>
      <c r="S166" s="472"/>
      <c r="T166" s="472"/>
      <c r="U166" s="472"/>
      <c r="V166" s="472"/>
      <c r="W166" s="472"/>
      <c r="X166" s="472"/>
      <c r="Y166" s="472"/>
      <c r="Z166" s="472"/>
      <c r="AA166" s="472"/>
      <c r="AB166" s="472"/>
      <c r="AC166" s="472"/>
      <c r="AD166" s="472"/>
      <c r="AE166" s="472"/>
      <c r="AF166" s="472"/>
      <c r="AG166" s="472"/>
      <c r="AH166" s="472"/>
    </row>
    <row r="167" spans="1:34" x14ac:dyDescent="0.25">
      <c r="A167" s="532"/>
      <c r="B167" s="532"/>
      <c r="C167" s="532"/>
      <c r="D167" s="532"/>
      <c r="E167" s="532"/>
      <c r="F167" s="532"/>
      <c r="G167" s="532"/>
      <c r="H167" s="532"/>
      <c r="I167" s="533"/>
      <c r="J167" s="533"/>
      <c r="K167" s="533"/>
      <c r="L167" s="533"/>
      <c r="M167" s="533"/>
      <c r="N167" s="533"/>
      <c r="O167" s="533"/>
      <c r="P167" s="472"/>
      <c r="Q167" s="472"/>
      <c r="R167" s="472"/>
      <c r="S167" s="472"/>
      <c r="T167" s="472"/>
      <c r="U167" s="472"/>
      <c r="V167" s="472"/>
      <c r="W167" s="472"/>
      <c r="X167" s="472"/>
      <c r="Y167" s="472"/>
      <c r="Z167" s="472"/>
      <c r="AA167" s="472"/>
      <c r="AB167" s="472"/>
      <c r="AC167" s="472"/>
      <c r="AD167" s="472"/>
      <c r="AE167" s="472"/>
      <c r="AF167" s="472"/>
      <c r="AG167" s="472"/>
      <c r="AH167" s="472"/>
    </row>
    <row r="168" spans="1:34" ht="11.25" customHeight="1" x14ac:dyDescent="0.25">
      <c r="A168" s="532"/>
      <c r="B168" s="532"/>
      <c r="C168" s="532"/>
      <c r="D168" s="532"/>
      <c r="E168" s="532"/>
      <c r="F168" s="532"/>
      <c r="G168" s="532"/>
      <c r="H168" s="532"/>
      <c r="I168" s="533"/>
      <c r="J168" s="533"/>
      <c r="K168" s="533"/>
      <c r="L168" s="533"/>
      <c r="M168" s="533"/>
      <c r="N168" s="533"/>
      <c r="O168" s="533"/>
      <c r="P168" s="472"/>
      <c r="Q168" s="472"/>
      <c r="R168" s="472"/>
      <c r="S168" s="472"/>
      <c r="T168" s="472"/>
      <c r="U168" s="472"/>
      <c r="V168" s="472"/>
      <c r="W168" s="472"/>
      <c r="X168" s="472"/>
      <c r="Y168" s="472"/>
      <c r="Z168" s="472"/>
      <c r="AA168" s="472"/>
      <c r="AB168" s="472"/>
      <c r="AC168" s="472"/>
      <c r="AD168" s="472"/>
      <c r="AE168" s="472"/>
      <c r="AF168" s="472"/>
      <c r="AG168" s="472"/>
      <c r="AH168" s="472"/>
    </row>
    <row r="169" spans="1:34" x14ac:dyDescent="0.25">
      <c r="A169" s="532" t="s">
        <v>158</v>
      </c>
      <c r="B169" s="532"/>
      <c r="C169" s="532"/>
      <c r="D169" s="532"/>
      <c r="E169" s="532"/>
      <c r="F169" s="532"/>
      <c r="G169" s="532"/>
      <c r="H169" s="532"/>
      <c r="I169" s="533"/>
      <c r="J169" s="533"/>
      <c r="K169" s="533"/>
      <c r="L169" s="533"/>
      <c r="M169" s="533"/>
      <c r="N169" s="533"/>
      <c r="O169" s="533"/>
      <c r="P169" s="472" t="b">
        <v>1</v>
      </c>
      <c r="Q169" s="472"/>
      <c r="R169" s="472"/>
      <c r="S169" s="472"/>
      <c r="T169" s="472"/>
      <c r="U169" s="472"/>
      <c r="V169" s="472"/>
      <c r="W169" s="472"/>
      <c r="X169" s="472"/>
      <c r="Y169" s="472"/>
      <c r="Z169" s="472"/>
      <c r="AA169" s="472"/>
      <c r="AB169" s="472"/>
      <c r="AC169" s="472"/>
      <c r="AD169" s="472"/>
      <c r="AE169" s="472"/>
      <c r="AF169" s="472"/>
      <c r="AG169" s="472"/>
      <c r="AH169" s="472"/>
    </row>
    <row r="170" spans="1:34" x14ac:dyDescent="0.25">
      <c r="A170" s="532"/>
      <c r="B170" s="532"/>
      <c r="C170" s="532"/>
      <c r="D170" s="532"/>
      <c r="E170" s="532"/>
      <c r="F170" s="532"/>
      <c r="G170" s="532"/>
      <c r="H170" s="532"/>
      <c r="I170" s="533"/>
      <c r="J170" s="533"/>
      <c r="K170" s="533"/>
      <c r="L170" s="533"/>
      <c r="M170" s="533"/>
      <c r="N170" s="533"/>
      <c r="O170" s="533"/>
      <c r="P170" s="472"/>
      <c r="Q170" s="472"/>
      <c r="R170" s="472"/>
      <c r="S170" s="472"/>
      <c r="T170" s="472"/>
      <c r="U170" s="472"/>
      <c r="V170" s="472"/>
      <c r="W170" s="472"/>
      <c r="X170" s="472"/>
      <c r="Y170" s="472"/>
      <c r="Z170" s="472"/>
      <c r="AA170" s="472"/>
      <c r="AB170" s="472"/>
      <c r="AC170" s="472"/>
      <c r="AD170" s="472"/>
      <c r="AE170" s="472"/>
      <c r="AF170" s="472"/>
      <c r="AG170" s="472"/>
      <c r="AH170" s="472"/>
    </row>
    <row r="171" spans="1:34" x14ac:dyDescent="0.25">
      <c r="A171" s="532"/>
      <c r="B171" s="532"/>
      <c r="C171" s="532"/>
      <c r="D171" s="532"/>
      <c r="E171" s="532"/>
      <c r="F171" s="532"/>
      <c r="G171" s="532"/>
      <c r="H171" s="532"/>
      <c r="I171" s="533"/>
      <c r="J171" s="533"/>
      <c r="K171" s="533"/>
      <c r="L171" s="533"/>
      <c r="M171" s="533"/>
      <c r="N171" s="533"/>
      <c r="O171" s="533"/>
      <c r="P171" s="472"/>
      <c r="Q171" s="472"/>
      <c r="R171" s="472"/>
      <c r="S171" s="472"/>
      <c r="T171" s="472"/>
      <c r="U171" s="472"/>
      <c r="V171" s="472"/>
      <c r="W171" s="472"/>
      <c r="X171" s="472"/>
      <c r="Y171" s="472"/>
      <c r="Z171" s="472"/>
      <c r="AA171" s="472"/>
      <c r="AB171" s="472"/>
      <c r="AC171" s="472"/>
      <c r="AD171" s="472"/>
      <c r="AE171" s="472"/>
      <c r="AF171" s="472"/>
      <c r="AG171" s="472"/>
      <c r="AH171" s="472"/>
    </row>
    <row r="172" spans="1:34" x14ac:dyDescent="0.25">
      <c r="A172" s="532"/>
      <c r="B172" s="532"/>
      <c r="C172" s="532"/>
      <c r="D172" s="532"/>
      <c r="E172" s="532"/>
      <c r="F172" s="532"/>
      <c r="G172" s="532"/>
      <c r="H172" s="532"/>
      <c r="I172" s="533"/>
      <c r="J172" s="533"/>
      <c r="K172" s="533"/>
      <c r="L172" s="533"/>
      <c r="M172" s="533"/>
      <c r="N172" s="533"/>
      <c r="O172" s="533"/>
      <c r="P172" s="472"/>
      <c r="Q172" s="472"/>
      <c r="R172" s="472"/>
      <c r="S172" s="472"/>
      <c r="T172" s="472"/>
      <c r="U172" s="472"/>
      <c r="V172" s="472"/>
      <c r="W172" s="472"/>
      <c r="X172" s="472"/>
      <c r="Y172" s="472"/>
      <c r="Z172" s="472"/>
      <c r="AA172" s="472"/>
      <c r="AB172" s="472"/>
      <c r="AC172" s="472"/>
      <c r="AD172" s="472"/>
      <c r="AE172" s="472"/>
      <c r="AF172" s="472"/>
      <c r="AG172" s="472"/>
      <c r="AH172" s="472"/>
    </row>
    <row r="173" spans="1:34" x14ac:dyDescent="0.25">
      <c r="A173" s="532"/>
      <c r="B173" s="532"/>
      <c r="C173" s="532"/>
      <c r="D173" s="532"/>
      <c r="E173" s="532"/>
      <c r="F173" s="532"/>
      <c r="G173" s="532"/>
      <c r="H173" s="532"/>
      <c r="I173" s="533"/>
      <c r="J173" s="533"/>
      <c r="K173" s="533"/>
      <c r="L173" s="533"/>
      <c r="M173" s="533"/>
      <c r="N173" s="533"/>
      <c r="O173" s="533"/>
      <c r="P173" s="472"/>
      <c r="Q173" s="472"/>
      <c r="R173" s="472"/>
      <c r="S173" s="472"/>
      <c r="T173" s="472"/>
      <c r="U173" s="472"/>
      <c r="V173" s="472"/>
      <c r="W173" s="472"/>
      <c r="X173" s="472"/>
      <c r="Y173" s="472"/>
      <c r="Z173" s="472"/>
      <c r="AA173" s="472"/>
      <c r="AB173" s="472"/>
      <c r="AC173" s="472"/>
      <c r="AD173" s="472"/>
      <c r="AE173" s="472"/>
      <c r="AF173" s="472"/>
      <c r="AG173" s="472"/>
      <c r="AH173" s="472"/>
    </row>
    <row r="174" spans="1:34" x14ac:dyDescent="0.25">
      <c r="A174" s="532"/>
      <c r="B174" s="532"/>
      <c r="C174" s="532"/>
      <c r="D174" s="532"/>
      <c r="E174" s="532"/>
      <c r="F174" s="532"/>
      <c r="G174" s="532"/>
      <c r="H174" s="532"/>
      <c r="I174" s="533"/>
      <c r="J174" s="533"/>
      <c r="K174" s="533"/>
      <c r="L174" s="533"/>
      <c r="M174" s="533"/>
      <c r="N174" s="533"/>
      <c r="O174" s="533"/>
      <c r="P174" s="472"/>
      <c r="Q174" s="472"/>
      <c r="R174" s="472"/>
      <c r="S174" s="472"/>
      <c r="T174" s="472"/>
      <c r="U174" s="472"/>
      <c r="V174" s="472"/>
      <c r="W174" s="472"/>
      <c r="X174" s="472"/>
      <c r="Y174" s="472"/>
      <c r="Z174" s="472"/>
      <c r="AA174" s="472"/>
      <c r="AB174" s="472"/>
      <c r="AC174" s="472"/>
      <c r="AD174" s="472"/>
      <c r="AE174" s="472"/>
      <c r="AF174" s="472"/>
      <c r="AG174" s="472"/>
      <c r="AH174" s="472"/>
    </row>
    <row r="175" spans="1:34" ht="15" customHeight="1" x14ac:dyDescent="0.25">
      <c r="A175" s="456" t="s">
        <v>283</v>
      </c>
      <c r="B175" s="456"/>
      <c r="C175" s="456"/>
      <c r="D175" s="456"/>
      <c r="E175" s="456"/>
      <c r="F175" s="456"/>
      <c r="G175" s="456"/>
      <c r="H175" s="456"/>
      <c r="I175" s="456"/>
      <c r="J175" s="456"/>
      <c r="K175" s="456"/>
      <c r="L175" s="456"/>
      <c r="M175" s="456"/>
      <c r="N175" s="456"/>
      <c r="O175" s="456"/>
      <c r="P175" s="456"/>
      <c r="Q175" s="456"/>
      <c r="R175" s="456"/>
      <c r="S175" s="456"/>
      <c r="T175" s="456"/>
      <c r="U175" s="456"/>
      <c r="V175" s="456"/>
      <c r="W175" s="456"/>
      <c r="X175" s="456"/>
      <c r="Y175" s="456"/>
      <c r="Z175" s="456"/>
      <c r="AA175" s="456"/>
      <c r="AB175" s="456"/>
      <c r="AC175" s="456"/>
      <c r="AD175" s="456"/>
      <c r="AE175" s="456"/>
      <c r="AF175" s="456"/>
      <c r="AG175" s="456"/>
      <c r="AH175" s="456"/>
    </row>
    <row r="176" spans="1:34" x14ac:dyDescent="0.25">
      <c r="A176" s="457"/>
      <c r="B176" s="457"/>
      <c r="C176" s="457"/>
      <c r="D176" s="457"/>
      <c r="E176" s="457"/>
      <c r="F176" s="457"/>
      <c r="G176" s="457"/>
      <c r="H176" s="457"/>
      <c r="I176" s="457"/>
      <c r="J176" s="457"/>
      <c r="K176" s="457"/>
      <c r="L176" s="457"/>
      <c r="M176" s="457"/>
      <c r="N176" s="457"/>
      <c r="O176" s="457"/>
      <c r="P176" s="457"/>
      <c r="Q176" s="457"/>
      <c r="R176" s="457"/>
      <c r="S176" s="457"/>
      <c r="T176" s="457"/>
      <c r="U176" s="457"/>
      <c r="V176" s="457"/>
      <c r="W176" s="457"/>
      <c r="X176" s="457"/>
      <c r="Y176" s="457"/>
      <c r="Z176" s="457"/>
      <c r="AA176" s="457"/>
      <c r="AB176" s="457"/>
      <c r="AC176" s="457"/>
      <c r="AD176" s="457"/>
      <c r="AE176" s="457"/>
      <c r="AF176" s="457"/>
      <c r="AG176" s="457"/>
      <c r="AH176" s="457"/>
    </row>
    <row r="177" spans="1:34" ht="3" customHeight="1" x14ac:dyDescent="0.25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</row>
    <row r="178" spans="1:34" ht="3" customHeight="1" thickBot="1" x14ac:dyDescent="0.3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  <c r="AD178" s="117"/>
      <c r="AE178" s="117"/>
      <c r="AF178" s="117"/>
      <c r="AG178" s="117"/>
      <c r="AH178" s="117"/>
    </row>
    <row r="179" spans="1:34" ht="14.25" customHeight="1" thickTop="1" thickBot="1" x14ac:dyDescent="0.3">
      <c r="A179" s="383" t="s">
        <v>222</v>
      </c>
      <c r="B179" s="383"/>
      <c r="C179" s="383"/>
      <c r="D179" s="383"/>
      <c r="E179" s="383"/>
      <c r="F179" s="383"/>
      <c r="G179" s="383"/>
      <c r="H179" s="383"/>
      <c r="I179" s="383"/>
      <c r="J179" s="383"/>
      <c r="K179" s="383"/>
      <c r="L179" s="383"/>
      <c r="M179" s="383"/>
      <c r="N179" s="383"/>
      <c r="O179" s="383"/>
      <c r="P179" s="383"/>
      <c r="Q179" s="383"/>
      <c r="R179" s="383"/>
      <c r="S179" s="383"/>
      <c r="T179" s="383"/>
      <c r="U179" s="383"/>
      <c r="V179" s="383"/>
      <c r="W179" s="383"/>
      <c r="X179" s="383"/>
      <c r="Y179" s="383"/>
      <c r="Z179" s="383"/>
      <c r="AA179" s="383"/>
      <c r="AB179" s="383"/>
      <c r="AC179" s="383"/>
      <c r="AD179" s="383"/>
      <c r="AE179" s="383"/>
      <c r="AF179" s="383"/>
      <c r="AG179" s="383"/>
      <c r="AH179" s="383"/>
    </row>
    <row r="180" spans="1:34" ht="3" customHeight="1" thickTop="1" x14ac:dyDescent="0.25">
      <c r="A180" s="96"/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</row>
    <row r="181" spans="1:34" ht="14.65" customHeight="1" x14ac:dyDescent="0.25">
      <c r="A181" s="123"/>
      <c r="B181" s="123"/>
      <c r="C181" s="123"/>
      <c r="D181" s="123"/>
      <c r="E181" s="123"/>
      <c r="F181" s="288" t="s">
        <v>206</v>
      </c>
      <c r="G181" s="288"/>
      <c r="H181" s="288"/>
      <c r="I181" s="288"/>
      <c r="J181" s="288"/>
      <c r="K181" s="288"/>
      <c r="L181" s="288"/>
      <c r="M181" s="288"/>
      <c r="N181" s="288"/>
      <c r="O181" s="6"/>
      <c r="P181" s="288" t="s">
        <v>207</v>
      </c>
      <c r="Q181" s="288"/>
      <c r="R181" s="288"/>
      <c r="S181" s="288"/>
      <c r="T181" s="288"/>
      <c r="U181" s="15"/>
      <c r="V181" s="126" t="s">
        <v>8</v>
      </c>
      <c r="W181" s="124"/>
      <c r="X181" s="124"/>
      <c r="Y181" s="123"/>
      <c r="AA181" s="24"/>
      <c r="AB181" s="24"/>
      <c r="AC181" s="24"/>
      <c r="AD181" s="24"/>
      <c r="AE181" s="24"/>
      <c r="AF181" s="24"/>
      <c r="AG181" s="24"/>
      <c r="AH181" s="25"/>
    </row>
    <row r="182" spans="1:34" x14ac:dyDescent="0.25">
      <c r="F182" s="462"/>
      <c r="G182" s="462"/>
      <c r="H182" s="462"/>
      <c r="I182" s="462"/>
      <c r="J182" s="462"/>
      <c r="K182" s="462"/>
      <c r="L182" s="462"/>
      <c r="M182" s="462"/>
      <c r="N182" s="462"/>
      <c r="O182" s="35"/>
      <c r="P182" s="462"/>
      <c r="Q182" s="462"/>
      <c r="R182" s="462"/>
      <c r="S182" s="462"/>
      <c r="T182" s="462"/>
      <c r="U182" s="17"/>
      <c r="V182" s="509"/>
      <c r="W182" s="510"/>
      <c r="X182" s="510"/>
      <c r="Y182" s="510"/>
      <c r="Z182" s="510"/>
      <c r="AA182" s="510"/>
      <c r="AB182" s="510"/>
      <c r="AC182" s="510"/>
      <c r="AD182" s="510"/>
      <c r="AE182" s="510"/>
      <c r="AF182" s="510"/>
      <c r="AG182" s="510"/>
      <c r="AH182" s="511"/>
    </row>
    <row r="183" spans="1:34" ht="70.5" customHeight="1" x14ac:dyDescent="0.25">
      <c r="A183" s="410" t="s">
        <v>6</v>
      </c>
      <c r="B183" s="410"/>
      <c r="C183" s="410"/>
      <c r="D183" s="410"/>
      <c r="E183" s="411"/>
      <c r="F183" s="585">
        <v>3</v>
      </c>
      <c r="G183" s="586"/>
      <c r="H183" s="586"/>
      <c r="I183" s="586"/>
      <c r="J183" s="586"/>
      <c r="K183" s="586"/>
      <c r="L183" s="586"/>
      <c r="M183" s="586"/>
      <c r="N183" s="587"/>
      <c r="O183" s="12"/>
      <c r="P183" s="588">
        <v>1</v>
      </c>
      <c r="Q183" s="589"/>
      <c r="R183" s="589"/>
      <c r="S183" s="589"/>
      <c r="T183" s="590"/>
      <c r="U183" s="124"/>
      <c r="V183" s="512"/>
      <c r="W183" s="513"/>
      <c r="X183" s="513"/>
      <c r="Y183" s="513"/>
      <c r="Z183" s="513"/>
      <c r="AA183" s="513"/>
      <c r="AB183" s="513"/>
      <c r="AC183" s="513"/>
      <c r="AD183" s="513"/>
      <c r="AE183" s="513"/>
      <c r="AF183" s="513"/>
      <c r="AG183" s="513"/>
      <c r="AH183" s="514"/>
    </row>
    <row r="184" spans="1:34" ht="7.15" customHeight="1" x14ac:dyDescent="0.25">
      <c r="F184" s="121"/>
      <c r="G184" s="121"/>
      <c r="H184" s="121"/>
      <c r="I184" s="121"/>
      <c r="J184" s="121"/>
      <c r="K184" s="121"/>
      <c r="L184" s="121"/>
      <c r="M184" s="121"/>
      <c r="N184" s="121"/>
      <c r="O184" s="5"/>
      <c r="P184" s="16"/>
      <c r="Q184" s="16"/>
      <c r="R184" s="16"/>
      <c r="S184" s="16"/>
      <c r="T184" s="16"/>
      <c r="U184" s="16"/>
      <c r="V184" s="512"/>
      <c r="W184" s="513"/>
      <c r="X184" s="513"/>
      <c r="Y184" s="513"/>
      <c r="Z184" s="513"/>
      <c r="AA184" s="513"/>
      <c r="AB184" s="513"/>
      <c r="AC184" s="513"/>
      <c r="AD184" s="513"/>
      <c r="AE184" s="513"/>
      <c r="AF184" s="513"/>
      <c r="AG184" s="513"/>
      <c r="AH184" s="514"/>
    </row>
    <row r="185" spans="1:34" ht="70.5" customHeight="1" x14ac:dyDescent="0.25">
      <c r="A185" s="546" t="s">
        <v>5</v>
      </c>
      <c r="B185" s="546"/>
      <c r="C185" s="546"/>
      <c r="D185" s="546"/>
      <c r="E185" s="547"/>
      <c r="F185" s="466">
        <v>2</v>
      </c>
      <c r="G185" s="467"/>
      <c r="H185" s="467"/>
      <c r="I185" s="467"/>
      <c r="J185" s="467"/>
      <c r="K185" s="467"/>
      <c r="L185" s="467"/>
      <c r="M185" s="467"/>
      <c r="N185" s="468"/>
      <c r="O185" s="14"/>
      <c r="P185" s="459">
        <v>1</v>
      </c>
      <c r="Q185" s="460"/>
      <c r="R185" s="460"/>
      <c r="S185" s="460"/>
      <c r="T185" s="461"/>
      <c r="U185" s="23"/>
      <c r="V185" s="515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7"/>
    </row>
    <row r="186" spans="1:34" ht="5.25" customHeight="1" x14ac:dyDescent="0.25"/>
    <row r="187" spans="1:34" ht="14.25" customHeight="1" x14ac:dyDescent="0.25">
      <c r="A187" s="103" t="s">
        <v>7</v>
      </c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99"/>
      <c r="M187" s="99"/>
      <c r="N187" s="99"/>
      <c r="O187" s="99"/>
      <c r="P187" s="99"/>
      <c r="Q187" s="99"/>
      <c r="R187" s="99"/>
      <c r="S187" s="99"/>
      <c r="T187" s="35"/>
      <c r="U187" s="36"/>
      <c r="V187" s="36"/>
      <c r="W187" s="36"/>
      <c r="X187" s="36"/>
      <c r="Y187" s="36"/>
      <c r="Z187" s="36"/>
      <c r="AA187" s="36"/>
      <c r="AB187" s="36"/>
      <c r="AC187" s="35"/>
      <c r="AD187" s="35"/>
      <c r="AE187" s="35"/>
      <c r="AF187" s="35"/>
      <c r="AG187" s="35"/>
      <c r="AH187" s="35"/>
    </row>
    <row r="188" spans="1:34" ht="14.25" customHeight="1" x14ac:dyDescent="0.25">
      <c r="A188" s="569"/>
      <c r="B188" s="570"/>
      <c r="C188" s="570"/>
      <c r="D188" s="570"/>
      <c r="E188" s="570"/>
      <c r="F188" s="570"/>
      <c r="G188" s="570"/>
      <c r="H188" s="570"/>
      <c r="I188" s="570"/>
      <c r="J188" s="570"/>
      <c r="K188" s="570"/>
      <c r="L188" s="570"/>
      <c r="M188" s="570"/>
      <c r="N188" s="570"/>
      <c r="O188" s="570"/>
      <c r="P188" s="570"/>
      <c r="Q188" s="570"/>
      <c r="R188" s="570"/>
      <c r="S188" s="570"/>
      <c r="T188" s="570"/>
      <c r="U188" s="570"/>
      <c r="V188" s="570"/>
      <c r="W188" s="570"/>
      <c r="X188" s="570"/>
      <c r="Y188" s="570"/>
      <c r="Z188" s="570"/>
      <c r="AA188" s="570"/>
      <c r="AB188" s="570"/>
      <c r="AC188" s="570"/>
      <c r="AD188" s="570"/>
      <c r="AE188" s="570"/>
      <c r="AF188" s="570"/>
      <c r="AG188" s="570"/>
      <c r="AH188" s="571"/>
    </row>
    <row r="189" spans="1:34" ht="14.25" customHeight="1" x14ac:dyDescent="0.25">
      <c r="A189" s="572"/>
      <c r="B189" s="573"/>
      <c r="C189" s="573"/>
      <c r="D189" s="573"/>
      <c r="E189" s="573"/>
      <c r="F189" s="573"/>
      <c r="G189" s="573"/>
      <c r="H189" s="573"/>
      <c r="I189" s="573"/>
      <c r="J189" s="573"/>
      <c r="K189" s="573"/>
      <c r="L189" s="573"/>
      <c r="M189" s="573"/>
      <c r="N189" s="573"/>
      <c r="O189" s="573"/>
      <c r="P189" s="573"/>
      <c r="Q189" s="573"/>
      <c r="R189" s="573"/>
      <c r="S189" s="573"/>
      <c r="T189" s="573"/>
      <c r="U189" s="573"/>
      <c r="V189" s="573"/>
      <c r="W189" s="573"/>
      <c r="X189" s="573"/>
      <c r="Y189" s="573"/>
      <c r="Z189" s="573"/>
      <c r="AA189" s="573"/>
      <c r="AB189" s="573"/>
      <c r="AC189" s="573"/>
      <c r="AD189" s="573"/>
      <c r="AE189" s="573"/>
      <c r="AF189" s="573"/>
      <c r="AG189" s="573"/>
      <c r="AH189" s="574"/>
    </row>
    <row r="190" spans="1:34" ht="14.25" customHeight="1" x14ac:dyDescent="0.25">
      <c r="A190" s="572"/>
      <c r="B190" s="573"/>
      <c r="C190" s="573"/>
      <c r="D190" s="573"/>
      <c r="E190" s="573"/>
      <c r="F190" s="573"/>
      <c r="G190" s="573"/>
      <c r="H190" s="573"/>
      <c r="I190" s="573"/>
      <c r="J190" s="573"/>
      <c r="K190" s="573"/>
      <c r="L190" s="573"/>
      <c r="M190" s="573"/>
      <c r="N190" s="573"/>
      <c r="O190" s="573"/>
      <c r="P190" s="573"/>
      <c r="Q190" s="573"/>
      <c r="R190" s="573"/>
      <c r="S190" s="573"/>
      <c r="T190" s="573"/>
      <c r="U190" s="573"/>
      <c r="V190" s="573"/>
      <c r="W190" s="573"/>
      <c r="X190" s="573"/>
      <c r="Y190" s="573"/>
      <c r="Z190" s="573"/>
      <c r="AA190" s="573"/>
      <c r="AB190" s="573"/>
      <c r="AC190" s="573"/>
      <c r="AD190" s="573"/>
      <c r="AE190" s="573"/>
      <c r="AF190" s="573"/>
      <c r="AG190" s="573"/>
      <c r="AH190" s="574"/>
    </row>
    <row r="191" spans="1:34" ht="14.25" customHeight="1" x14ac:dyDescent="0.25">
      <c r="A191" s="575"/>
      <c r="B191" s="576"/>
      <c r="C191" s="576"/>
      <c r="D191" s="576"/>
      <c r="E191" s="576"/>
      <c r="F191" s="576"/>
      <c r="G191" s="576"/>
      <c r="H191" s="576"/>
      <c r="I191" s="576"/>
      <c r="J191" s="576"/>
      <c r="K191" s="576"/>
      <c r="L191" s="576"/>
      <c r="M191" s="576"/>
      <c r="N191" s="576"/>
      <c r="O191" s="576"/>
      <c r="P191" s="576"/>
      <c r="Q191" s="576"/>
      <c r="R191" s="576"/>
      <c r="S191" s="576"/>
      <c r="T191" s="576"/>
      <c r="U191" s="576"/>
      <c r="V191" s="576"/>
      <c r="W191" s="576"/>
      <c r="X191" s="576"/>
      <c r="Y191" s="576"/>
      <c r="Z191" s="576"/>
      <c r="AA191" s="576"/>
      <c r="AB191" s="576"/>
      <c r="AC191" s="576"/>
      <c r="AD191" s="576"/>
      <c r="AE191" s="576"/>
      <c r="AF191" s="576"/>
      <c r="AG191" s="576"/>
      <c r="AH191" s="577"/>
    </row>
    <row r="192" spans="1:34" ht="6" customHeight="1" x14ac:dyDescent="0.25">
      <c r="B192" s="9"/>
      <c r="C192" s="123"/>
      <c r="D192" s="123"/>
      <c r="E192" s="123"/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T192" s="123"/>
      <c r="U192" s="123"/>
      <c r="V192" s="123"/>
      <c r="W192" s="123"/>
      <c r="X192" s="123"/>
      <c r="Y192" s="123"/>
    </row>
    <row r="193" spans="1:41" ht="14.25" customHeight="1" x14ac:dyDescent="0.25">
      <c r="A193" s="68" t="s">
        <v>13</v>
      </c>
      <c r="Y193" s="123"/>
    </row>
    <row r="194" spans="1:41" ht="14.25" customHeight="1" x14ac:dyDescent="0.25">
      <c r="A194" s="534"/>
      <c r="B194" s="535"/>
      <c r="C194" s="535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535"/>
      <c r="T194" s="535"/>
      <c r="U194" s="535"/>
      <c r="V194" s="535"/>
      <c r="W194" s="535"/>
      <c r="X194" s="535"/>
      <c r="Y194" s="535"/>
      <c r="Z194" s="535"/>
      <c r="AA194" s="535"/>
      <c r="AB194" s="535"/>
      <c r="AC194" s="535"/>
      <c r="AD194" s="535"/>
      <c r="AE194" s="535"/>
      <c r="AF194" s="535"/>
      <c r="AG194" s="535"/>
      <c r="AH194" s="536"/>
    </row>
    <row r="195" spans="1:41" ht="14.25" customHeight="1" x14ac:dyDescent="0.25">
      <c r="A195" s="578"/>
      <c r="B195" s="579"/>
      <c r="C195" s="579"/>
      <c r="D195" s="579"/>
      <c r="E195" s="579"/>
      <c r="F195" s="579"/>
      <c r="G195" s="579"/>
      <c r="H195" s="579"/>
      <c r="I195" s="579"/>
      <c r="J195" s="579"/>
      <c r="K195" s="579"/>
      <c r="L195" s="579"/>
      <c r="M195" s="579"/>
      <c r="N195" s="579"/>
      <c r="O195" s="579"/>
      <c r="P195" s="579"/>
      <c r="Q195" s="579"/>
      <c r="R195" s="579"/>
      <c r="S195" s="579"/>
      <c r="T195" s="579"/>
      <c r="U195" s="579"/>
      <c r="V195" s="579"/>
      <c r="W195" s="579"/>
      <c r="X195" s="579"/>
      <c r="Y195" s="579"/>
      <c r="Z195" s="579"/>
      <c r="AA195" s="579"/>
      <c r="AB195" s="579"/>
      <c r="AC195" s="579"/>
      <c r="AD195" s="579"/>
      <c r="AE195" s="579"/>
      <c r="AF195" s="579"/>
      <c r="AG195" s="579"/>
      <c r="AH195" s="580"/>
    </row>
    <row r="196" spans="1:41" ht="14.25" customHeight="1" x14ac:dyDescent="0.25">
      <c r="A196" s="537"/>
      <c r="B196" s="538"/>
      <c r="C196" s="538"/>
      <c r="D196" s="538"/>
      <c r="E196" s="538"/>
      <c r="F196" s="538"/>
      <c r="G196" s="538"/>
      <c r="H196" s="538"/>
      <c r="I196" s="538"/>
      <c r="J196" s="538"/>
      <c r="K196" s="538"/>
      <c r="L196" s="538"/>
      <c r="M196" s="538"/>
      <c r="N196" s="538"/>
      <c r="O196" s="538"/>
      <c r="P196" s="538"/>
      <c r="Q196" s="538"/>
      <c r="R196" s="538"/>
      <c r="S196" s="538"/>
      <c r="T196" s="538"/>
      <c r="U196" s="538"/>
      <c r="V196" s="538"/>
      <c r="W196" s="538"/>
      <c r="X196" s="538"/>
      <c r="Y196" s="538"/>
      <c r="Z196" s="538"/>
      <c r="AA196" s="538"/>
      <c r="AB196" s="538"/>
      <c r="AC196" s="538"/>
      <c r="AD196" s="538"/>
      <c r="AE196" s="538"/>
      <c r="AF196" s="538"/>
      <c r="AG196" s="538"/>
      <c r="AH196" s="539"/>
    </row>
    <row r="197" spans="1:41" s="112" customFormat="1" ht="6" customHeight="1" x14ac:dyDescent="0.25">
      <c r="AO197" s="53"/>
    </row>
    <row r="198" spans="1:41" s="112" customFormat="1" ht="14.25" customHeight="1" x14ac:dyDescent="0.25">
      <c r="A198" s="113" t="s">
        <v>194</v>
      </c>
      <c r="X198" s="113" t="s">
        <v>195</v>
      </c>
    </row>
    <row r="199" spans="1:41" ht="14.25" customHeight="1" x14ac:dyDescent="0.25">
      <c r="A199" s="447"/>
      <c r="B199" s="448"/>
      <c r="C199" s="448"/>
      <c r="D199" s="448"/>
      <c r="E199" s="448"/>
      <c r="F199" s="448"/>
      <c r="G199" s="448"/>
      <c r="H199" s="448"/>
      <c r="I199" s="448"/>
      <c r="J199" s="448"/>
      <c r="K199" s="448"/>
      <c r="L199" s="448"/>
      <c r="M199" s="448"/>
      <c r="N199" s="448"/>
      <c r="O199" s="448"/>
      <c r="P199" s="448"/>
      <c r="Q199" s="448"/>
      <c r="R199" s="448"/>
      <c r="S199" s="448"/>
      <c r="T199" s="448"/>
      <c r="U199" s="448"/>
      <c r="V199" s="449"/>
      <c r="X199" s="236"/>
      <c r="Y199" s="237"/>
      <c r="Z199" s="237"/>
      <c r="AA199" s="237"/>
      <c r="AB199" s="237"/>
      <c r="AC199" s="237"/>
      <c r="AD199" s="237"/>
      <c r="AE199" s="237"/>
      <c r="AF199" s="237"/>
      <c r="AG199" s="237"/>
      <c r="AH199" s="238"/>
      <c r="AO199" s="112"/>
    </row>
    <row r="200" spans="1:41" ht="14.25" customHeight="1" x14ac:dyDescent="0.25">
      <c r="A200" s="450"/>
      <c r="B200" s="451"/>
      <c r="C200" s="451"/>
      <c r="D200" s="451"/>
      <c r="E200" s="451"/>
      <c r="F200" s="451"/>
      <c r="G200" s="451"/>
      <c r="H200" s="451"/>
      <c r="I200" s="451"/>
      <c r="J200" s="451"/>
      <c r="K200" s="451"/>
      <c r="L200" s="451"/>
      <c r="M200" s="451"/>
      <c r="N200" s="451"/>
      <c r="O200" s="451"/>
      <c r="P200" s="451"/>
      <c r="Q200" s="451"/>
      <c r="R200" s="451"/>
      <c r="S200" s="451"/>
      <c r="T200" s="451"/>
      <c r="U200" s="451"/>
      <c r="V200" s="452"/>
      <c r="X200" s="239"/>
      <c r="Y200" s="240"/>
      <c r="Z200" s="240"/>
      <c r="AA200" s="240"/>
      <c r="AB200" s="240"/>
      <c r="AC200" s="240"/>
      <c r="AD200" s="240"/>
      <c r="AE200" s="240"/>
      <c r="AF200" s="240"/>
      <c r="AG200" s="240"/>
      <c r="AH200" s="241"/>
    </row>
    <row r="201" spans="1:41" ht="14.25" customHeight="1" x14ac:dyDescent="0.25">
      <c r="A201" s="453"/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5"/>
      <c r="X201" s="463"/>
      <c r="Y201" s="464"/>
      <c r="Z201" s="464"/>
      <c r="AA201" s="464"/>
      <c r="AB201" s="464"/>
      <c r="AC201" s="464"/>
      <c r="AD201" s="464"/>
      <c r="AE201" s="464"/>
      <c r="AF201" s="464"/>
      <c r="AG201" s="464"/>
      <c r="AH201" s="465"/>
    </row>
    <row r="202" spans="1:41" ht="14.25" customHeight="1" x14ac:dyDescent="0.25">
      <c r="AE202" s="425" t="s">
        <v>199</v>
      </c>
      <c r="AF202" s="425"/>
      <c r="AG202" s="425"/>
      <c r="AH202" s="425"/>
    </row>
    <row r="203" spans="1:41" ht="14.25" customHeight="1" x14ac:dyDescent="0.25">
      <c r="A203" s="68" t="s">
        <v>54</v>
      </c>
      <c r="G203" s="534"/>
      <c r="H203" s="535"/>
      <c r="I203" s="535"/>
      <c r="J203" s="535"/>
      <c r="K203" s="535"/>
      <c r="L203" s="535"/>
      <c r="M203" s="535"/>
      <c r="N203" s="535"/>
      <c r="O203" s="535"/>
      <c r="P203" s="535"/>
      <c r="Q203" s="535"/>
      <c r="R203" s="535"/>
      <c r="S203" s="535"/>
      <c r="T203" s="535"/>
      <c r="U203" s="535"/>
      <c r="V203" s="535"/>
      <c r="W203" s="535"/>
      <c r="X203" s="535"/>
      <c r="Y203" s="535"/>
      <c r="Z203" s="535"/>
      <c r="AA203" s="535"/>
      <c r="AB203" s="535"/>
      <c r="AC203" s="536"/>
      <c r="AD203" s="59"/>
      <c r="AE203" s="426"/>
      <c r="AF203" s="426"/>
      <c r="AG203" s="426"/>
      <c r="AH203" s="426"/>
    </row>
    <row r="204" spans="1:41" ht="14.25" customHeight="1" x14ac:dyDescent="0.25">
      <c r="G204" s="537"/>
      <c r="H204" s="538"/>
      <c r="I204" s="538"/>
      <c r="J204" s="538"/>
      <c r="K204" s="538"/>
      <c r="L204" s="538"/>
      <c r="M204" s="538"/>
      <c r="N204" s="538"/>
      <c r="O204" s="538"/>
      <c r="P204" s="538"/>
      <c r="Q204" s="538"/>
      <c r="R204" s="538"/>
      <c r="S204" s="538"/>
      <c r="T204" s="538"/>
      <c r="U204" s="538"/>
      <c r="V204" s="538"/>
      <c r="W204" s="538"/>
      <c r="X204" s="538"/>
      <c r="Y204" s="538"/>
      <c r="Z204" s="538"/>
      <c r="AA204" s="538"/>
      <c r="AB204" s="538"/>
      <c r="AC204" s="539"/>
      <c r="AD204" s="59"/>
      <c r="AE204" s="426"/>
      <c r="AF204" s="426"/>
      <c r="AG204" s="426"/>
      <c r="AH204" s="426"/>
    </row>
    <row r="205" spans="1:41" ht="14.25" customHeight="1" x14ac:dyDescent="0.25">
      <c r="AE205" s="591"/>
      <c r="AF205" s="592"/>
      <c r="AG205" s="592"/>
      <c r="AH205" s="593"/>
    </row>
    <row r="206" spans="1:41" ht="8.25" customHeight="1" thickBot="1" x14ac:dyDescent="0.3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</row>
    <row r="207" spans="1:41" ht="16.5" thickTop="1" thickBot="1" x14ac:dyDescent="0.3">
      <c r="A207" s="383" t="s">
        <v>223</v>
      </c>
      <c r="B207" s="383"/>
      <c r="C207" s="383"/>
      <c r="D207" s="383"/>
      <c r="E207" s="383"/>
      <c r="F207" s="383"/>
      <c r="G207" s="383"/>
      <c r="H207" s="383"/>
      <c r="I207" s="383"/>
      <c r="J207" s="383"/>
      <c r="K207" s="383"/>
      <c r="L207" s="383"/>
      <c r="M207" s="383"/>
      <c r="N207" s="383"/>
      <c r="O207" s="383"/>
      <c r="P207" s="383"/>
      <c r="Q207" s="383"/>
      <c r="R207" s="383"/>
      <c r="S207" s="383"/>
      <c r="T207" s="383"/>
      <c r="U207" s="383"/>
      <c r="V207" s="383"/>
      <c r="W207" s="383"/>
      <c r="X207" s="383"/>
      <c r="Y207" s="383"/>
      <c r="Z207" s="383"/>
      <c r="AA207" s="383"/>
      <c r="AB207" s="383"/>
      <c r="AC207" s="383"/>
      <c r="AD207" s="383"/>
      <c r="AE207" s="383"/>
      <c r="AF207" s="383"/>
      <c r="AG207" s="383"/>
      <c r="AH207" s="383"/>
    </row>
    <row r="208" spans="1:41" ht="8.25" customHeight="1" thickTop="1" x14ac:dyDescent="0.25"/>
    <row r="209" spans="1:34" x14ac:dyDescent="0.25">
      <c r="A209" s="438" t="s">
        <v>48</v>
      </c>
      <c r="B209" s="438"/>
      <c r="C209" s="438"/>
      <c r="D209" s="438"/>
      <c r="E209" s="438"/>
      <c r="F209" s="438"/>
      <c r="G209" s="424"/>
      <c r="H209" s="423"/>
      <c r="I209" s="423"/>
      <c r="J209" s="423"/>
      <c r="K209" s="423"/>
      <c r="L209" s="423"/>
      <c r="M209" s="423"/>
      <c r="N209" s="423"/>
      <c r="O209" s="437"/>
      <c r="P209" s="291" t="s">
        <v>49</v>
      </c>
      <c r="Q209" s="291"/>
      <c r="R209" s="291"/>
      <c r="S209" s="291"/>
      <c r="T209" s="424"/>
      <c r="U209" s="423"/>
      <c r="V209" s="423"/>
      <c r="W209" s="423"/>
      <c r="X209" s="423"/>
      <c r="Y209" s="423"/>
      <c r="Z209" s="423"/>
      <c r="AA209" s="423"/>
      <c r="AB209" s="437"/>
      <c r="AC209" s="291" t="s">
        <v>2</v>
      </c>
      <c r="AD209" s="291"/>
      <c r="AE209" s="424"/>
      <c r="AF209" s="423"/>
      <c r="AG209" s="423"/>
      <c r="AH209" s="437"/>
    </row>
    <row r="210" spans="1:34" ht="7.15" customHeight="1" x14ac:dyDescent="0.25"/>
    <row r="211" spans="1:34" x14ac:dyDescent="0.25">
      <c r="A211" s="438" t="s">
        <v>50</v>
      </c>
      <c r="B211" s="438"/>
      <c r="C211" s="438"/>
      <c r="D211" s="438"/>
      <c r="E211" s="438"/>
      <c r="F211" s="438"/>
      <c r="G211" s="424"/>
      <c r="H211" s="423"/>
      <c r="I211" s="423"/>
      <c r="J211" s="423"/>
      <c r="K211" s="437"/>
      <c r="M211" s="518" t="s">
        <v>52</v>
      </c>
      <c r="N211" s="518"/>
      <c r="O211" s="518"/>
      <c r="P211" s="518"/>
      <c r="Q211" s="518"/>
      <c r="R211" s="518"/>
      <c r="S211" s="518"/>
      <c r="T211" s="518"/>
      <c r="U211" s="518"/>
      <c r="V211" s="518"/>
      <c r="W211" s="424"/>
      <c r="X211" s="423"/>
      <c r="Y211" s="423"/>
      <c r="Z211" s="423"/>
      <c r="AA211" s="423"/>
      <c r="AB211" s="423"/>
      <c r="AC211" s="423"/>
      <c r="AD211" s="423"/>
      <c r="AE211" s="423"/>
      <c r="AF211" s="423"/>
      <c r="AG211" s="423"/>
      <c r="AH211" s="437"/>
    </row>
    <row r="212" spans="1:34" ht="7.15" customHeight="1" x14ac:dyDescent="0.25"/>
    <row r="213" spans="1:34" x14ac:dyDescent="0.25">
      <c r="A213" s="438" t="s">
        <v>51</v>
      </c>
      <c r="B213" s="438"/>
      <c r="C213" s="438"/>
      <c r="D213" s="438"/>
      <c r="E213" s="438"/>
      <c r="F213" s="438"/>
      <c r="G213" s="424"/>
      <c r="H213" s="423"/>
      <c r="I213" s="423"/>
      <c r="J213" s="423"/>
      <c r="K213" s="423"/>
      <c r="L213" s="423"/>
      <c r="M213" s="423"/>
      <c r="N213" s="423"/>
      <c r="O213" s="423"/>
      <c r="P213" s="423"/>
      <c r="Q213" s="423"/>
      <c r="R213" s="423"/>
      <c r="S213" s="423"/>
      <c r="T213" s="423"/>
      <c r="U213" s="423"/>
      <c r="V213" s="423"/>
      <c r="W213" s="423"/>
      <c r="X213" s="423"/>
      <c r="Y213" s="423"/>
      <c r="Z213" s="423"/>
      <c r="AA213" s="423"/>
      <c r="AB213" s="423"/>
      <c r="AC213" s="423"/>
      <c r="AD213" s="423"/>
      <c r="AE213" s="423"/>
      <c r="AF213" s="423"/>
      <c r="AG213" s="423"/>
      <c r="AH213" s="437"/>
    </row>
    <row r="214" spans="1:34" ht="7.15" customHeight="1" x14ac:dyDescent="0.25"/>
    <row r="215" spans="1:34" ht="14.65" customHeight="1" x14ac:dyDescent="0.25">
      <c r="A215" s="484" t="s">
        <v>55</v>
      </c>
      <c r="B215" s="484"/>
      <c r="C215" s="484"/>
      <c r="D215" s="484"/>
      <c r="E215" s="484"/>
      <c r="F215" s="484"/>
      <c r="G215" s="487"/>
      <c r="H215" s="488"/>
      <c r="I215" s="488"/>
      <c r="J215" s="488"/>
      <c r="K215" s="488"/>
      <c r="L215" s="488"/>
      <c r="M215" s="488"/>
      <c r="N215" s="488"/>
      <c r="O215" s="488"/>
      <c r="P215" s="488"/>
      <c r="Q215" s="488"/>
      <c r="R215" s="488"/>
      <c r="S215" s="488"/>
      <c r="T215" s="488"/>
      <c r="U215" s="488"/>
      <c r="V215" s="488"/>
      <c r="W215" s="488"/>
      <c r="X215" s="488"/>
      <c r="Y215" s="488"/>
      <c r="Z215" s="488"/>
      <c r="AA215" s="488"/>
      <c r="AB215" s="488"/>
      <c r="AC215" s="488"/>
      <c r="AD215" s="488"/>
      <c r="AE215" s="488"/>
      <c r="AF215" s="488"/>
      <c r="AG215" s="488"/>
      <c r="AH215" s="489"/>
    </row>
    <row r="216" spans="1:34" x14ac:dyDescent="0.25">
      <c r="A216" s="484"/>
      <c r="B216" s="484"/>
      <c r="C216" s="484"/>
      <c r="D216" s="484"/>
      <c r="E216" s="484"/>
      <c r="F216" s="484"/>
      <c r="G216" s="490"/>
      <c r="H216" s="491"/>
      <c r="I216" s="491"/>
      <c r="J216" s="491"/>
      <c r="K216" s="491"/>
      <c r="L216" s="491"/>
      <c r="M216" s="491"/>
      <c r="N216" s="491"/>
      <c r="O216" s="491"/>
      <c r="P216" s="491"/>
      <c r="Q216" s="491"/>
      <c r="R216" s="491"/>
      <c r="S216" s="491"/>
      <c r="T216" s="491"/>
      <c r="U216" s="491"/>
      <c r="V216" s="491"/>
      <c r="W216" s="491"/>
      <c r="X216" s="491"/>
      <c r="Y216" s="491"/>
      <c r="Z216" s="491"/>
      <c r="AA216" s="491"/>
      <c r="AB216" s="491"/>
      <c r="AC216" s="491"/>
      <c r="AD216" s="491"/>
      <c r="AE216" s="491"/>
      <c r="AF216" s="491"/>
      <c r="AG216" s="491"/>
      <c r="AH216" s="492"/>
    </row>
    <row r="217" spans="1:34" ht="7.15" customHeight="1" x14ac:dyDescent="0.25"/>
    <row r="218" spans="1:34" x14ac:dyDescent="0.25">
      <c r="A218" s="53" t="s">
        <v>53</v>
      </c>
      <c r="M218" s="424"/>
      <c r="N218" s="423"/>
      <c r="O218" s="423"/>
      <c r="P218" s="423"/>
      <c r="Q218" s="423"/>
      <c r="R218" s="423"/>
      <c r="S218" s="423"/>
      <c r="T218" s="423"/>
      <c r="U218" s="423"/>
      <c r="V218" s="423"/>
      <c r="W218" s="423"/>
      <c r="X218" s="423"/>
      <c r="Y218" s="423"/>
      <c r="Z218" s="423"/>
      <c r="AA218" s="423"/>
      <c r="AB218" s="423"/>
      <c r="AC218" s="423"/>
      <c r="AD218" s="423"/>
      <c r="AE218" s="423"/>
      <c r="AF218" s="423"/>
      <c r="AG218" s="423"/>
      <c r="AH218" s="437"/>
    </row>
    <row r="219" spans="1:34" ht="7.15" customHeight="1" x14ac:dyDescent="0.25"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  <c r="AH219" s="132"/>
    </row>
    <row r="220" spans="1:34" x14ac:dyDescent="0.25">
      <c r="A220" s="486" t="s">
        <v>54</v>
      </c>
      <c r="B220" s="486"/>
      <c r="C220" s="486"/>
      <c r="D220" s="486"/>
      <c r="E220" s="486"/>
      <c r="F220" s="486"/>
      <c r="G220" s="487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488"/>
      <c r="U220" s="488"/>
      <c r="V220" s="488"/>
      <c r="W220" s="488"/>
      <c r="X220" s="488"/>
      <c r="Y220" s="488"/>
      <c r="Z220" s="488"/>
      <c r="AA220" s="488"/>
      <c r="AB220" s="488"/>
      <c r="AC220" s="488"/>
      <c r="AD220" s="488"/>
      <c r="AE220" s="488"/>
      <c r="AF220" s="488"/>
      <c r="AG220" s="488"/>
      <c r="AH220" s="489"/>
    </row>
    <row r="221" spans="1:34" x14ac:dyDescent="0.25">
      <c r="G221" s="490"/>
      <c r="H221" s="491"/>
      <c r="I221" s="491"/>
      <c r="J221" s="491"/>
      <c r="K221" s="491"/>
      <c r="L221" s="491"/>
      <c r="M221" s="491"/>
      <c r="N221" s="491"/>
      <c r="O221" s="491"/>
      <c r="P221" s="491"/>
      <c r="Q221" s="491"/>
      <c r="R221" s="491"/>
      <c r="S221" s="491"/>
      <c r="T221" s="491"/>
      <c r="U221" s="491"/>
      <c r="V221" s="491"/>
      <c r="W221" s="491"/>
      <c r="X221" s="491"/>
      <c r="Y221" s="491"/>
      <c r="Z221" s="491"/>
      <c r="AA221" s="491"/>
      <c r="AB221" s="491"/>
      <c r="AC221" s="491"/>
      <c r="AD221" s="491"/>
      <c r="AE221" s="491"/>
      <c r="AF221" s="491"/>
      <c r="AG221" s="491"/>
      <c r="AH221" s="492"/>
    </row>
    <row r="222" spans="1:34" ht="8.25" customHeight="1" x14ac:dyDescent="0.25"/>
    <row r="223" spans="1:34" ht="3" customHeight="1" x14ac:dyDescent="0.25"/>
    <row r="224" spans="1:34" ht="3" customHeight="1" thickBot="1" x14ac:dyDescent="0.3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</row>
    <row r="225" spans="1:34" ht="16.5" thickTop="1" thickBot="1" x14ac:dyDescent="0.3">
      <c r="A225" s="383" t="s">
        <v>224</v>
      </c>
      <c r="B225" s="383"/>
      <c r="C225" s="383"/>
      <c r="D225" s="383"/>
      <c r="E225" s="383"/>
      <c r="F225" s="383"/>
      <c r="G225" s="383"/>
      <c r="H225" s="383"/>
      <c r="I225" s="383"/>
      <c r="J225" s="383"/>
      <c r="K225" s="383"/>
      <c r="L225" s="383"/>
      <c r="M225" s="383"/>
      <c r="N225" s="383"/>
      <c r="O225" s="383"/>
      <c r="P225" s="383"/>
      <c r="Q225" s="383"/>
      <c r="R225" s="383"/>
      <c r="S225" s="383"/>
      <c r="T225" s="383"/>
      <c r="U225" s="383"/>
      <c r="V225" s="383"/>
      <c r="W225" s="383"/>
      <c r="X225" s="383"/>
      <c r="Y225" s="383"/>
      <c r="Z225" s="383"/>
      <c r="AA225" s="383"/>
      <c r="AB225" s="383"/>
      <c r="AC225" s="383"/>
      <c r="AD225" s="383"/>
      <c r="AE225" s="383"/>
      <c r="AF225" s="383"/>
      <c r="AG225" s="383"/>
      <c r="AH225" s="383"/>
    </row>
    <row r="226" spans="1:34" ht="7.15" customHeight="1" thickTop="1" x14ac:dyDescent="0.25">
      <c r="A226" s="123"/>
      <c r="B226" s="123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/>
      <c r="O226" s="123"/>
      <c r="P226" s="123"/>
      <c r="Q226" s="123"/>
      <c r="R226" s="123"/>
      <c r="S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</row>
    <row r="227" spans="1:34" ht="14.25" customHeight="1" x14ac:dyDescent="0.25">
      <c r="A227" s="137" t="s">
        <v>185</v>
      </c>
    </row>
    <row r="228" spans="1:34" x14ac:dyDescent="0.25">
      <c r="J228" s="518" t="s">
        <v>32</v>
      </c>
      <c r="K228" s="518"/>
      <c r="L228" s="518"/>
      <c r="M228" s="518"/>
      <c r="N228" s="518"/>
      <c r="O228" s="518"/>
      <c r="P228" s="125"/>
      <c r="Q228" s="518" t="s">
        <v>33</v>
      </c>
      <c r="R228" s="518"/>
      <c r="S228" s="518"/>
      <c r="T228" s="518"/>
      <c r="U228" s="518"/>
      <c r="V228" s="518"/>
    </row>
    <row r="229" spans="1:34" x14ac:dyDescent="0.25">
      <c r="A229" s="68" t="s">
        <v>31</v>
      </c>
      <c r="J229" s="548" t="b">
        <v>0</v>
      </c>
      <c r="K229" s="549"/>
      <c r="L229" s="550"/>
      <c r="M229" s="548" t="b">
        <v>0</v>
      </c>
      <c r="N229" s="549"/>
      <c r="O229" s="550"/>
      <c r="Q229" s="548" t="b">
        <v>0</v>
      </c>
      <c r="R229" s="549"/>
      <c r="S229" s="550"/>
      <c r="T229" s="548" t="b">
        <v>0</v>
      </c>
      <c r="U229" s="549"/>
      <c r="V229" s="550"/>
    </row>
    <row r="230" spans="1:34" ht="10.9" customHeight="1" x14ac:dyDescent="0.25"/>
    <row r="231" spans="1:34" ht="14.65" customHeight="1" x14ac:dyDescent="0.25">
      <c r="E231" s="439" t="s">
        <v>117</v>
      </c>
      <c r="F231" s="439"/>
      <c r="G231" s="439"/>
      <c r="H231" s="439"/>
      <c r="I231" s="29"/>
      <c r="J231" s="439" t="s">
        <v>35</v>
      </c>
      <c r="K231" s="439"/>
      <c r="L231" s="439"/>
      <c r="M231" s="439"/>
      <c r="N231" s="439"/>
      <c r="O231" s="29"/>
      <c r="P231" s="439" t="s">
        <v>36</v>
      </c>
      <c r="Q231" s="439"/>
      <c r="R231" s="439"/>
      <c r="S231" s="439"/>
      <c r="T231" s="439"/>
      <c r="U231" s="27"/>
      <c r="V231" s="439" t="s">
        <v>37</v>
      </c>
      <c r="W231" s="439"/>
      <c r="X231" s="439"/>
      <c r="Y231" s="439"/>
      <c r="Z231" s="439"/>
    </row>
    <row r="232" spans="1:34" x14ac:dyDescent="0.25">
      <c r="E232" s="439"/>
      <c r="F232" s="439"/>
      <c r="G232" s="439"/>
      <c r="H232" s="439"/>
      <c r="I232" s="29"/>
      <c r="J232" s="439"/>
      <c r="K232" s="439"/>
      <c r="L232" s="439"/>
      <c r="M232" s="439"/>
      <c r="N232" s="439"/>
      <c r="O232" s="29"/>
      <c r="P232" s="439"/>
      <c r="Q232" s="439"/>
      <c r="R232" s="439"/>
      <c r="S232" s="439"/>
      <c r="T232" s="439"/>
      <c r="U232" s="27"/>
      <c r="V232" s="439"/>
      <c r="W232" s="439"/>
      <c r="X232" s="439"/>
      <c r="Y232" s="439"/>
      <c r="Z232" s="439"/>
    </row>
    <row r="233" spans="1:34" x14ac:dyDescent="0.25">
      <c r="A233" s="53" t="s">
        <v>34</v>
      </c>
      <c r="E233" s="427"/>
      <c r="F233" s="421"/>
      <c r="G233" s="421"/>
      <c r="H233" s="422"/>
      <c r="I233" s="125"/>
      <c r="J233" s="551" t="s">
        <v>111</v>
      </c>
      <c r="K233" s="552"/>
      <c r="L233" s="552"/>
      <c r="M233" s="552"/>
      <c r="N233" s="553"/>
      <c r="O233" s="132"/>
      <c r="P233" s="551" t="s">
        <v>111</v>
      </c>
      <c r="Q233" s="552"/>
      <c r="R233" s="552"/>
      <c r="S233" s="552"/>
      <c r="T233" s="553"/>
      <c r="V233" s="581" t="s">
        <v>111</v>
      </c>
      <c r="W233" s="582"/>
      <c r="X233" s="582"/>
      <c r="Y233" s="582"/>
      <c r="Z233" s="583"/>
    </row>
    <row r="234" spans="1:34" ht="10.9" customHeight="1" x14ac:dyDescent="0.25">
      <c r="E234" s="33"/>
      <c r="F234" s="33"/>
      <c r="G234" s="33"/>
      <c r="H234" s="33"/>
      <c r="V234" s="33"/>
      <c r="W234" s="33"/>
      <c r="X234" s="33"/>
      <c r="Y234" s="33"/>
      <c r="Z234" s="33"/>
    </row>
    <row r="235" spans="1:34" ht="14.65" customHeight="1" x14ac:dyDescent="0.25">
      <c r="E235" s="483" t="s">
        <v>170</v>
      </c>
      <c r="F235" s="483"/>
      <c r="G235" s="483"/>
      <c r="H235" s="483"/>
      <c r="I235" s="13"/>
      <c r="J235" s="483" t="s">
        <v>171</v>
      </c>
      <c r="K235" s="483"/>
      <c r="L235" s="483"/>
      <c r="M235" s="483"/>
    </row>
    <row r="236" spans="1:34" ht="14.65" customHeight="1" x14ac:dyDescent="0.25">
      <c r="E236" s="483"/>
      <c r="F236" s="483"/>
      <c r="G236" s="483"/>
      <c r="H236" s="483"/>
      <c r="I236" s="13"/>
      <c r="J236" s="483"/>
      <c r="K236" s="483"/>
      <c r="L236" s="483"/>
      <c r="M236" s="483"/>
      <c r="O236" s="485" t="s">
        <v>110</v>
      </c>
      <c r="P236" s="485"/>
      <c r="Q236" s="485"/>
      <c r="R236" s="485"/>
      <c r="S236" s="485"/>
      <c r="T236" s="485"/>
      <c r="U236" s="485"/>
      <c r="V236" s="485"/>
      <c r="W236" s="485"/>
      <c r="X236" s="485"/>
      <c r="Y236" s="485"/>
      <c r="Z236" s="485"/>
      <c r="AA236" s="485"/>
      <c r="AB236" s="485"/>
      <c r="AC236" s="485"/>
      <c r="AD236" s="485"/>
      <c r="AE236" s="485"/>
      <c r="AF236" s="485"/>
      <c r="AG236" s="485"/>
      <c r="AH236" s="485"/>
    </row>
    <row r="237" spans="1:34" x14ac:dyDescent="0.25">
      <c r="A237" s="53" t="s">
        <v>6</v>
      </c>
      <c r="E237" s="496"/>
      <c r="F237" s="497"/>
      <c r="G237" s="497"/>
      <c r="H237" s="498"/>
      <c r="J237" s="424"/>
      <c r="K237" s="423"/>
      <c r="L237" s="423"/>
      <c r="M237" s="437"/>
      <c r="O237" s="424"/>
      <c r="P237" s="423"/>
      <c r="Q237" s="423"/>
      <c r="R237" s="421" t="s">
        <v>120</v>
      </c>
      <c r="S237" s="422"/>
      <c r="T237" s="423"/>
      <c r="U237" s="423"/>
      <c r="V237" s="423"/>
      <c r="W237" s="421" t="s">
        <v>121</v>
      </c>
      <c r="X237" s="422"/>
      <c r="Y237" s="423"/>
      <c r="Z237" s="423"/>
      <c r="AA237" s="423"/>
      <c r="AB237" s="421" t="s">
        <v>122</v>
      </c>
      <c r="AC237" s="422"/>
      <c r="AD237" s="423"/>
      <c r="AE237" s="423"/>
      <c r="AF237" s="423"/>
      <c r="AG237" s="421" t="s">
        <v>123</v>
      </c>
      <c r="AH237" s="422"/>
    </row>
    <row r="238" spans="1:34" ht="5.25" customHeight="1" x14ac:dyDescent="0.25"/>
    <row r="239" spans="1:34" ht="14.25" customHeight="1" x14ac:dyDescent="0.25">
      <c r="A239" s="114" t="s">
        <v>198</v>
      </c>
    </row>
    <row r="240" spans="1:34" ht="3" customHeight="1" x14ac:dyDescent="0.25"/>
    <row r="241" spans="1:70" ht="15" customHeight="1" x14ac:dyDescent="0.25">
      <c r="A241" s="123"/>
      <c r="B241" s="123"/>
      <c r="C241" s="123"/>
      <c r="D241" s="123"/>
      <c r="E241" s="123"/>
      <c r="F241" s="288" t="s">
        <v>9</v>
      </c>
      <c r="G241" s="288"/>
      <c r="H241" s="288"/>
      <c r="I241" s="288"/>
      <c r="J241" s="6"/>
      <c r="K241" s="288" t="s">
        <v>30</v>
      </c>
      <c r="L241" s="288"/>
      <c r="M241" s="288"/>
      <c r="N241" s="288"/>
      <c r="P241" s="68" t="s">
        <v>215</v>
      </c>
    </row>
    <row r="242" spans="1:70" ht="15" customHeight="1" x14ac:dyDescent="0.25">
      <c r="F242" s="288"/>
      <c r="G242" s="288"/>
      <c r="H242" s="288"/>
      <c r="I242" s="288"/>
      <c r="J242" s="35"/>
      <c r="K242" s="288"/>
      <c r="L242" s="288"/>
      <c r="M242" s="288"/>
      <c r="N242" s="288"/>
      <c r="P242" s="227"/>
      <c r="Q242" s="228"/>
      <c r="R242" s="228"/>
      <c r="S242" s="228"/>
      <c r="T242" s="228"/>
      <c r="U242" s="228"/>
      <c r="V242" s="228"/>
      <c r="W242" s="228"/>
      <c r="X242" s="228"/>
      <c r="Y242" s="228"/>
      <c r="Z242" s="228"/>
      <c r="AA242" s="228"/>
      <c r="AB242" s="228"/>
      <c r="AC242" s="228"/>
      <c r="AD242" s="228"/>
      <c r="AE242" s="228"/>
      <c r="AF242" s="228"/>
      <c r="AG242" s="228"/>
      <c r="AH242" s="229"/>
      <c r="AK242" s="5"/>
      <c r="AL242" s="5"/>
      <c r="AM242" s="5"/>
      <c r="AN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 x14ac:dyDescent="0.25">
      <c r="A243" s="482" t="s">
        <v>6</v>
      </c>
      <c r="B243" s="482"/>
      <c r="C243" s="482"/>
      <c r="D243" s="482"/>
      <c r="E243" s="482"/>
      <c r="F243" s="476"/>
      <c r="G243" s="477"/>
      <c r="H243" s="477"/>
      <c r="I243" s="478"/>
      <c r="J243" s="3"/>
      <c r="K243" s="476"/>
      <c r="L243" s="477"/>
      <c r="M243" s="477"/>
      <c r="N243" s="478"/>
      <c r="P243" s="230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2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 ht="7.15" customHeight="1" x14ac:dyDescent="0.25">
      <c r="P244" s="230"/>
      <c r="Q244" s="231"/>
      <c r="R244" s="231"/>
      <c r="S244" s="231"/>
      <c r="T244" s="231"/>
      <c r="U244" s="231"/>
      <c r="V244" s="231"/>
      <c r="W244" s="231"/>
      <c r="X244" s="231"/>
      <c r="Y244" s="231"/>
      <c r="Z244" s="231"/>
      <c r="AA244" s="231"/>
      <c r="AB244" s="231"/>
      <c r="AC244" s="231"/>
      <c r="AD244" s="231"/>
      <c r="AE244" s="231"/>
      <c r="AF244" s="231"/>
      <c r="AG244" s="231"/>
      <c r="AH244" s="232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</row>
    <row r="245" spans="1:70" x14ac:dyDescent="0.25">
      <c r="A245" s="554" t="s">
        <v>5</v>
      </c>
      <c r="B245" s="554"/>
      <c r="C245" s="554"/>
      <c r="D245" s="554"/>
      <c r="E245" s="554"/>
      <c r="F245" s="479"/>
      <c r="G245" s="480"/>
      <c r="H245" s="480"/>
      <c r="I245" s="481"/>
      <c r="J245" s="4"/>
      <c r="K245" s="479"/>
      <c r="L245" s="480"/>
      <c r="M245" s="480"/>
      <c r="N245" s="481"/>
      <c r="P245" s="307"/>
      <c r="Q245" s="308"/>
      <c r="R245" s="308"/>
      <c r="S245" s="308"/>
      <c r="T245" s="308"/>
      <c r="U245" s="308"/>
      <c r="V245" s="308"/>
      <c r="W245" s="308"/>
      <c r="X245" s="308"/>
      <c r="Y245" s="308"/>
      <c r="Z245" s="308"/>
      <c r="AA245" s="308"/>
      <c r="AB245" s="308"/>
      <c r="AC245" s="308"/>
      <c r="AD245" s="308"/>
      <c r="AE245" s="308"/>
      <c r="AF245" s="308"/>
      <c r="AG245" s="308"/>
      <c r="AH245" s="309"/>
      <c r="AO245" s="5"/>
    </row>
    <row r="246" spans="1:70" ht="8.25" customHeight="1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81"/>
      <c r="AG246" s="81"/>
      <c r="AH246" s="81"/>
    </row>
    <row r="247" spans="1:70" ht="8.25" customHeight="1" x14ac:dyDescent="0.25">
      <c r="A247" s="125"/>
      <c r="B247" s="125"/>
      <c r="C247" s="125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</row>
    <row r="248" spans="1:70" ht="14.25" customHeight="1" x14ac:dyDescent="0.25">
      <c r="A248" s="446" t="s">
        <v>183</v>
      </c>
      <c r="B248" s="446"/>
      <c r="C248" s="446"/>
      <c r="D248" s="446"/>
      <c r="E248" s="446"/>
      <c r="F248" s="446"/>
      <c r="G248" s="446"/>
      <c r="H248" s="446"/>
      <c r="I248" s="446"/>
      <c r="J248" s="446"/>
      <c r="K248" s="446"/>
      <c r="L248" s="446"/>
      <c r="M248" s="446"/>
      <c r="N248" s="446"/>
      <c r="O248" s="446"/>
      <c r="P248" s="446"/>
      <c r="Q248" s="446"/>
      <c r="R248" s="446"/>
      <c r="S248" s="5"/>
      <c r="T248" s="470" t="s">
        <v>166</v>
      </c>
      <c r="U248" s="470"/>
      <c r="V248" s="470"/>
      <c r="W248" s="470"/>
      <c r="X248" s="470"/>
      <c r="Y248" s="470"/>
      <c r="AB248" s="470" t="s">
        <v>167</v>
      </c>
      <c r="AC248" s="470"/>
      <c r="AD248" s="470"/>
      <c r="AE248" s="470"/>
      <c r="AF248" s="470"/>
      <c r="AG248" s="470"/>
      <c r="AH248" s="125"/>
    </row>
    <row r="249" spans="1:70" ht="14.25" customHeight="1" x14ac:dyDescent="0.25">
      <c r="A249" s="446"/>
      <c r="B249" s="446"/>
      <c r="C249" s="446"/>
      <c r="D249" s="446"/>
      <c r="E249" s="446"/>
      <c r="F249" s="446"/>
      <c r="G249" s="446"/>
      <c r="H249" s="446"/>
      <c r="I249" s="446"/>
      <c r="J249" s="446"/>
      <c r="K249" s="446"/>
      <c r="L249" s="446"/>
      <c r="M249" s="446"/>
      <c r="N249" s="446"/>
      <c r="O249" s="446"/>
      <c r="P249" s="446"/>
      <c r="Q249" s="446"/>
      <c r="R249" s="446"/>
      <c r="S249" s="63"/>
      <c r="T249" s="470"/>
      <c r="U249" s="470"/>
      <c r="V249" s="470"/>
      <c r="W249" s="470"/>
      <c r="X249" s="470"/>
      <c r="Y249" s="470"/>
      <c r="AB249" s="470"/>
      <c r="AC249" s="470"/>
      <c r="AD249" s="470"/>
      <c r="AE249" s="470"/>
      <c r="AF249" s="470"/>
      <c r="AG249" s="470"/>
      <c r="AH249" s="125"/>
    </row>
    <row r="250" spans="1:70" ht="14.25" customHeight="1" x14ac:dyDescent="0.25">
      <c r="A250" s="469" t="s">
        <v>214</v>
      </c>
      <c r="B250" s="469"/>
      <c r="C250" s="469"/>
      <c r="D250" s="469"/>
      <c r="E250" s="469"/>
      <c r="F250" s="469"/>
      <c r="G250" s="469"/>
      <c r="H250" s="469"/>
      <c r="I250" s="469"/>
      <c r="J250" s="469"/>
      <c r="K250" s="469"/>
      <c r="L250" s="469"/>
      <c r="M250" s="469"/>
      <c r="N250" s="469"/>
      <c r="O250" s="469"/>
      <c r="P250" s="469"/>
      <c r="Q250" s="469"/>
      <c r="R250" s="469"/>
      <c r="S250" s="63"/>
      <c r="T250" s="440"/>
      <c r="U250" s="441"/>
      <c r="V250" s="441"/>
      <c r="W250" s="441"/>
      <c r="X250" s="441"/>
      <c r="Y250" s="442"/>
      <c r="AB250" s="440"/>
      <c r="AC250" s="441"/>
      <c r="AD250" s="441"/>
      <c r="AE250" s="441"/>
      <c r="AF250" s="441"/>
      <c r="AG250" s="442"/>
      <c r="AH250" s="125"/>
    </row>
    <row r="251" spans="1:70" ht="14.25" customHeight="1" x14ac:dyDescent="0.25">
      <c r="A251" s="469"/>
      <c r="B251" s="469"/>
      <c r="C251" s="469"/>
      <c r="D251" s="469"/>
      <c r="E251" s="469"/>
      <c r="F251" s="469"/>
      <c r="G251" s="469"/>
      <c r="H251" s="469"/>
      <c r="I251" s="469"/>
      <c r="J251" s="469"/>
      <c r="K251" s="469"/>
      <c r="L251" s="469"/>
      <c r="M251" s="469"/>
      <c r="N251" s="469"/>
      <c r="O251" s="469"/>
      <c r="P251" s="469"/>
      <c r="Q251" s="469"/>
      <c r="R251" s="469"/>
      <c r="T251" s="443"/>
      <c r="U251" s="444"/>
      <c r="V251" s="444"/>
      <c r="W251" s="444"/>
      <c r="X251" s="444"/>
      <c r="Y251" s="445"/>
      <c r="AB251" s="443"/>
      <c r="AC251" s="444"/>
      <c r="AD251" s="444"/>
      <c r="AE251" s="444"/>
      <c r="AF251" s="444"/>
      <c r="AG251" s="445"/>
      <c r="AH251" s="125"/>
    </row>
    <row r="252" spans="1:70" ht="8.25" customHeight="1" x14ac:dyDescent="0.25">
      <c r="A252" s="82"/>
      <c r="B252" s="82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0"/>
      <c r="T252" s="83"/>
      <c r="U252" s="83"/>
      <c r="V252" s="83"/>
      <c r="W252" s="83"/>
      <c r="X252" s="83"/>
      <c r="Y252" s="83"/>
      <c r="Z252" s="80"/>
      <c r="AA252" s="80"/>
      <c r="AB252" s="83"/>
      <c r="AC252" s="83"/>
      <c r="AD252" s="83"/>
      <c r="AE252" s="83"/>
      <c r="AF252" s="83"/>
      <c r="AG252" s="83"/>
      <c r="AH252" s="81"/>
    </row>
    <row r="253" spans="1:70" ht="8.25" customHeight="1" x14ac:dyDescent="0.25"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H253" s="123"/>
    </row>
    <row r="254" spans="1:70" ht="14.25" customHeight="1" x14ac:dyDescent="0.25">
      <c r="A254" s="137" t="s">
        <v>184</v>
      </c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84" t="s">
        <v>22</v>
      </c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H254" s="123"/>
    </row>
    <row r="255" spans="1:70" ht="14.25" customHeight="1" x14ac:dyDescent="0.25">
      <c r="A255" s="428" t="s">
        <v>213</v>
      </c>
      <c r="B255" s="429"/>
      <c r="C255" s="429"/>
      <c r="D255" s="429"/>
      <c r="E255" s="429"/>
      <c r="F255" s="429"/>
      <c r="G255" s="429"/>
      <c r="H255" s="429"/>
      <c r="I255" s="429"/>
      <c r="J255" s="429"/>
      <c r="K255" s="429"/>
      <c r="L255" s="429"/>
      <c r="M255" s="429"/>
      <c r="N255" s="429"/>
      <c r="O255" s="430"/>
      <c r="P255" s="85"/>
      <c r="Q255" s="412"/>
      <c r="R255" s="413"/>
      <c r="S255" s="413"/>
      <c r="T255" s="413"/>
      <c r="U255" s="413"/>
      <c r="V255" s="413"/>
      <c r="W255" s="413"/>
      <c r="X255" s="413"/>
      <c r="Y255" s="413"/>
      <c r="Z255" s="413"/>
      <c r="AA255" s="413"/>
      <c r="AB255" s="413"/>
      <c r="AC255" s="413"/>
      <c r="AD255" s="413"/>
      <c r="AE255" s="413"/>
      <c r="AF255" s="413"/>
      <c r="AG255" s="413"/>
      <c r="AH255" s="414"/>
    </row>
    <row r="256" spans="1:70" ht="14.25" customHeight="1" x14ac:dyDescent="0.25">
      <c r="A256" s="431"/>
      <c r="B256" s="432"/>
      <c r="C256" s="432"/>
      <c r="D256" s="432"/>
      <c r="E256" s="432"/>
      <c r="F256" s="432"/>
      <c r="G256" s="432"/>
      <c r="H256" s="432"/>
      <c r="I256" s="432"/>
      <c r="J256" s="432"/>
      <c r="K256" s="432"/>
      <c r="L256" s="432"/>
      <c r="M256" s="432"/>
      <c r="N256" s="432"/>
      <c r="O256" s="433"/>
      <c r="P256" s="85"/>
      <c r="Q256" s="415"/>
      <c r="R256" s="416"/>
      <c r="S256" s="416"/>
      <c r="T256" s="416"/>
      <c r="U256" s="416"/>
      <c r="V256" s="416"/>
      <c r="W256" s="416"/>
      <c r="X256" s="416"/>
      <c r="Y256" s="416"/>
      <c r="Z256" s="416"/>
      <c r="AA256" s="416"/>
      <c r="AB256" s="416"/>
      <c r="AC256" s="416"/>
      <c r="AD256" s="416"/>
      <c r="AE256" s="416"/>
      <c r="AF256" s="416"/>
      <c r="AG256" s="416"/>
      <c r="AH256" s="417"/>
    </row>
    <row r="257" spans="1:70" ht="14.25" customHeight="1" x14ac:dyDescent="0.25">
      <c r="A257" s="434"/>
      <c r="B257" s="435"/>
      <c r="C257" s="435"/>
      <c r="D257" s="435"/>
      <c r="E257" s="435"/>
      <c r="F257" s="435"/>
      <c r="G257" s="435"/>
      <c r="H257" s="435"/>
      <c r="I257" s="435"/>
      <c r="J257" s="435"/>
      <c r="K257" s="435"/>
      <c r="L257" s="435"/>
      <c r="M257" s="435"/>
      <c r="N257" s="435"/>
      <c r="O257" s="436"/>
      <c r="P257" s="85"/>
      <c r="Q257" s="418"/>
      <c r="R257" s="419"/>
      <c r="S257" s="419"/>
      <c r="T257" s="419"/>
      <c r="U257" s="419"/>
      <c r="V257" s="419"/>
      <c r="W257" s="419"/>
      <c r="X257" s="419"/>
      <c r="Y257" s="419"/>
      <c r="Z257" s="419"/>
      <c r="AA257" s="419"/>
      <c r="AB257" s="419"/>
      <c r="AC257" s="419"/>
      <c r="AD257" s="419"/>
      <c r="AE257" s="419"/>
      <c r="AF257" s="419"/>
      <c r="AG257" s="419"/>
      <c r="AH257" s="420"/>
    </row>
    <row r="258" spans="1:70" ht="8.25" customHeight="1" x14ac:dyDescent="0.25">
      <c r="A258" s="87"/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5"/>
      <c r="Q258" s="130"/>
      <c r="R258" s="130"/>
      <c r="S258" s="130"/>
      <c r="T258" s="130"/>
      <c r="U258" s="130"/>
      <c r="V258" s="130"/>
      <c r="W258" s="130"/>
      <c r="X258" s="130"/>
      <c r="Y258" s="130"/>
      <c r="Z258" s="130"/>
      <c r="AA258" s="130"/>
      <c r="AB258" s="130"/>
      <c r="AC258" s="130"/>
      <c r="AD258" s="130"/>
      <c r="AE258" s="130"/>
      <c r="AF258" s="130"/>
      <c r="AG258" s="130"/>
      <c r="AH258" s="130"/>
    </row>
    <row r="259" spans="1:70" ht="14.25" customHeight="1" x14ac:dyDescent="0.25">
      <c r="A259" s="542" t="s">
        <v>212</v>
      </c>
      <c r="B259" s="543"/>
      <c r="C259" s="543"/>
      <c r="D259" s="543"/>
      <c r="E259" s="543"/>
      <c r="F259" s="543"/>
      <c r="G259" s="543"/>
      <c r="H259" s="543"/>
      <c r="I259" s="543"/>
      <c r="J259" s="543"/>
      <c r="K259" s="543"/>
      <c r="L259" s="543"/>
      <c r="M259" s="543"/>
      <c r="N259" s="543"/>
      <c r="O259" s="543"/>
      <c r="P259" s="543"/>
      <c r="Q259" s="543"/>
      <c r="R259" s="543"/>
      <c r="S259" s="544"/>
      <c r="T259" s="136"/>
      <c r="U259" s="541" t="s">
        <v>11</v>
      </c>
      <c r="V259" s="541"/>
      <c r="W259" s="541"/>
      <c r="X259" s="541"/>
      <c r="Y259" s="122"/>
      <c r="Z259" s="540" t="s">
        <v>12</v>
      </c>
      <c r="AA259" s="540"/>
      <c r="AB259" s="540"/>
      <c r="AC259" s="540"/>
      <c r="AD259" s="122"/>
      <c r="AE259" s="122"/>
      <c r="AF259" s="122"/>
    </row>
    <row r="260" spans="1:70" ht="14.25" customHeight="1" x14ac:dyDescent="0.25">
      <c r="A260" s="545"/>
      <c r="B260" s="405"/>
      <c r="C260" s="405"/>
      <c r="D260" s="405"/>
      <c r="E260" s="405"/>
      <c r="F260" s="405"/>
      <c r="G260" s="405"/>
      <c r="H260" s="405"/>
      <c r="I260" s="405"/>
      <c r="J260" s="405"/>
      <c r="K260" s="405"/>
      <c r="L260" s="405"/>
      <c r="M260" s="405"/>
      <c r="N260" s="405"/>
      <c r="O260" s="405"/>
      <c r="P260" s="405"/>
      <c r="Q260" s="405"/>
      <c r="R260" s="405"/>
      <c r="S260" s="406"/>
      <c r="T260" s="136"/>
      <c r="U260" s="424"/>
      <c r="V260" s="423"/>
      <c r="W260" s="423"/>
      <c r="X260" s="437"/>
      <c r="Y260" s="122"/>
      <c r="Z260" s="424"/>
      <c r="AA260" s="423"/>
      <c r="AB260" s="423"/>
      <c r="AC260" s="437"/>
      <c r="AD260" s="122"/>
      <c r="AE260" s="122"/>
      <c r="AF260" s="122"/>
      <c r="AG260" s="5"/>
      <c r="AH260" s="5"/>
    </row>
    <row r="261" spans="1:70" ht="8.25" customHeight="1" x14ac:dyDescent="0.25">
      <c r="A261" s="80"/>
      <c r="B261" s="80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</row>
    <row r="262" spans="1:70" ht="8.25" customHeight="1" x14ac:dyDescent="0.25">
      <c r="A262" s="125"/>
      <c r="B262" s="125"/>
      <c r="C262" s="125"/>
      <c r="D262" s="125"/>
      <c r="E262" s="125"/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25"/>
      <c r="AF262" s="125"/>
      <c r="AG262" s="125"/>
      <c r="AH262" s="125"/>
    </row>
    <row r="263" spans="1:70" ht="14.25" customHeight="1" x14ac:dyDescent="0.25">
      <c r="A263" s="137" t="s">
        <v>216</v>
      </c>
      <c r="B263" s="125"/>
      <c r="C263" s="125"/>
      <c r="D263" s="125"/>
      <c r="E263" s="125"/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125"/>
      <c r="V263" s="125"/>
      <c r="W263" s="125"/>
      <c r="X263" s="76" t="s">
        <v>8</v>
      </c>
      <c r="Y263" s="125"/>
      <c r="Z263" s="125"/>
      <c r="AA263" s="125"/>
      <c r="AB263" s="125"/>
      <c r="AC263" s="125"/>
      <c r="AD263" s="125"/>
      <c r="AE263" s="125"/>
      <c r="AF263" s="125"/>
      <c r="AG263" s="125"/>
      <c r="AH263" s="125"/>
    </row>
    <row r="264" spans="1:70" ht="14.25" customHeight="1" x14ac:dyDescent="0.25">
      <c r="A264" s="385" t="s">
        <v>211</v>
      </c>
      <c r="B264" s="385"/>
      <c r="C264" s="385"/>
      <c r="D264" s="385"/>
      <c r="E264" s="385"/>
      <c r="F264" s="385"/>
      <c r="G264" s="385"/>
      <c r="H264" s="385"/>
      <c r="I264" s="385"/>
      <c r="J264" s="385"/>
      <c r="K264" s="385"/>
      <c r="L264" s="385"/>
      <c r="M264" s="385"/>
      <c r="N264" s="385"/>
      <c r="O264" s="385"/>
      <c r="P264" s="385"/>
      <c r="Q264" s="402" t="b">
        <v>0</v>
      </c>
      <c r="R264" s="402"/>
      <c r="S264" s="402"/>
      <c r="T264" s="437" t="b">
        <v>0</v>
      </c>
      <c r="U264" s="402"/>
      <c r="V264" s="402"/>
      <c r="X264" s="519"/>
      <c r="Y264" s="520"/>
      <c r="Z264" s="520"/>
      <c r="AA264" s="520"/>
      <c r="AB264" s="520"/>
      <c r="AC264" s="520"/>
      <c r="AD264" s="520"/>
      <c r="AE264" s="520"/>
      <c r="AF264" s="520"/>
      <c r="AG264" s="520"/>
      <c r="AH264" s="521"/>
    </row>
    <row r="265" spans="1:70" ht="14.25" customHeight="1" x14ac:dyDescent="0.25">
      <c r="A265" s="388"/>
      <c r="B265" s="388"/>
      <c r="C265" s="388"/>
      <c r="D265" s="388"/>
      <c r="E265" s="388"/>
      <c r="F265" s="388"/>
      <c r="G265" s="388"/>
      <c r="H265" s="388"/>
      <c r="I265" s="388"/>
      <c r="J265" s="388"/>
      <c r="K265" s="388"/>
      <c r="L265" s="388"/>
      <c r="M265" s="388"/>
      <c r="N265" s="388"/>
      <c r="O265" s="388"/>
      <c r="P265" s="388"/>
      <c r="Q265" s="402"/>
      <c r="R265" s="402"/>
      <c r="S265" s="402"/>
      <c r="T265" s="437"/>
      <c r="U265" s="402"/>
      <c r="V265" s="402"/>
      <c r="X265" s="522"/>
      <c r="Y265" s="523"/>
      <c r="Z265" s="523"/>
      <c r="AA265" s="523"/>
      <c r="AB265" s="523"/>
      <c r="AC265" s="523"/>
      <c r="AD265" s="523"/>
      <c r="AE265" s="523"/>
      <c r="AF265" s="523"/>
      <c r="AG265" s="523"/>
      <c r="AH265" s="524"/>
    </row>
    <row r="266" spans="1:70" ht="14.25" customHeight="1" x14ac:dyDescent="0.25">
      <c r="Q266" s="206"/>
      <c r="R266" s="77"/>
      <c r="S266" s="207"/>
      <c r="X266" s="522"/>
      <c r="Y266" s="523"/>
      <c r="Z266" s="523"/>
      <c r="AA266" s="523"/>
      <c r="AB266" s="523"/>
      <c r="AC266" s="523"/>
      <c r="AD266" s="523"/>
      <c r="AE266" s="523"/>
      <c r="AF266" s="523"/>
      <c r="AG266" s="523"/>
      <c r="AH266" s="524"/>
    </row>
    <row r="267" spans="1:70" ht="14.25" customHeight="1" x14ac:dyDescent="0.25">
      <c r="A267" s="403" t="s">
        <v>210</v>
      </c>
      <c r="B267" s="403"/>
      <c r="C267" s="403"/>
      <c r="D267" s="403"/>
      <c r="E267" s="403"/>
      <c r="F267" s="403"/>
      <c r="G267" s="403"/>
      <c r="H267" s="403"/>
      <c r="I267" s="403"/>
      <c r="J267" s="403"/>
      <c r="K267" s="403"/>
      <c r="L267" s="403"/>
      <c r="M267" s="403"/>
      <c r="N267" s="403"/>
      <c r="O267" s="403"/>
      <c r="P267" s="404"/>
      <c r="Q267" s="227" t="b">
        <v>0</v>
      </c>
      <c r="R267" s="228"/>
      <c r="S267" s="229"/>
      <c r="T267" s="228" t="b">
        <v>0</v>
      </c>
      <c r="U267" s="228"/>
      <c r="V267" s="229"/>
      <c r="X267" s="522"/>
      <c r="Y267" s="523"/>
      <c r="Z267" s="523"/>
      <c r="AA267" s="523"/>
      <c r="AB267" s="523"/>
      <c r="AC267" s="523"/>
      <c r="AD267" s="523"/>
      <c r="AE267" s="523"/>
      <c r="AF267" s="523"/>
      <c r="AG267" s="523"/>
      <c r="AH267" s="524"/>
    </row>
    <row r="268" spans="1:70" ht="14.25" customHeight="1" x14ac:dyDescent="0.25">
      <c r="A268" s="405"/>
      <c r="B268" s="405"/>
      <c r="C268" s="405"/>
      <c r="D268" s="405"/>
      <c r="E268" s="405"/>
      <c r="F268" s="405"/>
      <c r="G268" s="405"/>
      <c r="H268" s="405"/>
      <c r="I268" s="405"/>
      <c r="J268" s="405"/>
      <c r="K268" s="405"/>
      <c r="L268" s="405"/>
      <c r="M268" s="405"/>
      <c r="N268" s="405"/>
      <c r="O268" s="405"/>
      <c r="P268" s="406"/>
      <c r="Q268" s="307"/>
      <c r="R268" s="308"/>
      <c r="S268" s="309"/>
      <c r="T268" s="308"/>
      <c r="U268" s="308"/>
      <c r="V268" s="309"/>
      <c r="X268" s="525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7"/>
    </row>
    <row r="269" spans="1:70" ht="8.25" customHeight="1" x14ac:dyDescent="0.25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9"/>
      <c r="R269" s="79"/>
      <c r="S269" s="79"/>
      <c r="T269" s="79"/>
      <c r="U269" s="79"/>
      <c r="V269" s="79"/>
      <c r="W269" s="80"/>
      <c r="X269" s="135"/>
      <c r="Y269" s="135"/>
      <c r="Z269" s="135"/>
      <c r="AA269" s="135"/>
      <c r="AB269" s="135"/>
      <c r="AC269" s="135"/>
      <c r="AD269" s="135"/>
      <c r="AE269" s="135"/>
      <c r="AF269" s="135"/>
      <c r="AG269" s="81"/>
      <c r="AH269" s="81"/>
    </row>
    <row r="270" spans="1:70" ht="8.25" customHeight="1" x14ac:dyDescent="0.25">
      <c r="A270" s="125"/>
      <c r="B270" s="125"/>
      <c r="C270" s="125"/>
      <c r="D270" s="125"/>
      <c r="E270" s="125"/>
      <c r="F270" s="125"/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  <c r="T270" s="125"/>
      <c r="X270" s="76"/>
      <c r="Y270" s="76"/>
      <c r="Z270" s="76"/>
      <c r="AA270" s="76"/>
      <c r="AB270" s="76"/>
      <c r="AC270" s="76"/>
      <c r="AD270" s="76"/>
      <c r="AE270" s="76"/>
      <c r="AF270" s="76"/>
      <c r="AG270" s="125"/>
      <c r="AH270" s="125"/>
    </row>
    <row r="271" spans="1:70" s="5" customFormat="1" ht="14.25" customHeight="1" x14ac:dyDescent="0.25">
      <c r="A271" s="137" t="s">
        <v>10</v>
      </c>
      <c r="B271" s="125"/>
      <c r="C271" s="125"/>
      <c r="D271" s="125"/>
      <c r="E271" s="125"/>
      <c r="F271" s="125"/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  <c r="T271" s="125"/>
      <c r="X271" s="76" t="s">
        <v>8</v>
      </c>
      <c r="Y271" s="125"/>
      <c r="Z271" s="125"/>
      <c r="AA271" s="125"/>
      <c r="AB271" s="125"/>
      <c r="AC271" s="125"/>
      <c r="AD271" s="125"/>
      <c r="AE271" s="125"/>
      <c r="AF271" s="125"/>
      <c r="AG271" s="125"/>
      <c r="AH271" s="125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53"/>
      <c r="BP271" s="53"/>
      <c r="BQ271" s="53"/>
      <c r="BR271" s="53"/>
    </row>
    <row r="272" spans="1:70" s="5" customFormat="1" ht="14.25" customHeight="1" x14ac:dyDescent="0.25">
      <c r="A272" s="384" t="s">
        <v>208</v>
      </c>
      <c r="B272" s="385"/>
      <c r="C272" s="385"/>
      <c r="D272" s="385"/>
      <c r="E272" s="385"/>
      <c r="F272" s="385"/>
      <c r="G272" s="385"/>
      <c r="H272" s="385"/>
      <c r="I272" s="385"/>
      <c r="J272" s="385"/>
      <c r="K272" s="385"/>
      <c r="L272" s="385"/>
      <c r="M272" s="385"/>
      <c r="N272" s="385"/>
      <c r="O272" s="385"/>
      <c r="P272" s="385"/>
      <c r="Q272" s="385"/>
      <c r="R272" s="385"/>
      <c r="S272" s="386"/>
      <c r="T272" s="396"/>
      <c r="U272" s="397"/>
      <c r="V272" s="398"/>
      <c r="W272" s="53"/>
      <c r="X272" s="519"/>
      <c r="Y272" s="520"/>
      <c r="Z272" s="520"/>
      <c r="AA272" s="520"/>
      <c r="AB272" s="520"/>
      <c r="AC272" s="520"/>
      <c r="AD272" s="520"/>
      <c r="AE272" s="520"/>
      <c r="AF272" s="520"/>
      <c r="AG272" s="520"/>
      <c r="AH272" s="521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</row>
    <row r="273" spans="1:70" s="5" customFormat="1" ht="14.25" customHeight="1" x14ac:dyDescent="0.25">
      <c r="A273" s="387"/>
      <c r="B273" s="388"/>
      <c r="C273" s="388"/>
      <c r="D273" s="388"/>
      <c r="E273" s="388"/>
      <c r="F273" s="388"/>
      <c r="G273" s="388"/>
      <c r="H273" s="388"/>
      <c r="I273" s="388"/>
      <c r="J273" s="388"/>
      <c r="K273" s="388"/>
      <c r="L273" s="388"/>
      <c r="M273" s="388"/>
      <c r="N273" s="388"/>
      <c r="O273" s="388"/>
      <c r="P273" s="388"/>
      <c r="Q273" s="388"/>
      <c r="R273" s="388"/>
      <c r="S273" s="389"/>
      <c r="T273" s="399"/>
      <c r="U273" s="400"/>
      <c r="V273" s="401"/>
      <c r="W273" s="53"/>
      <c r="X273" s="522"/>
      <c r="Y273" s="523"/>
      <c r="Z273" s="523"/>
      <c r="AA273" s="523"/>
      <c r="AB273" s="523"/>
      <c r="AC273" s="523"/>
      <c r="AD273" s="523"/>
      <c r="AE273" s="523"/>
      <c r="AF273" s="523"/>
      <c r="AG273" s="523"/>
      <c r="AH273" s="524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</row>
    <row r="274" spans="1:70" ht="8.25" customHeight="1" x14ac:dyDescent="0.25">
      <c r="X274" s="522"/>
      <c r="Y274" s="523"/>
      <c r="Z274" s="523"/>
      <c r="AA274" s="523"/>
      <c r="AB274" s="523"/>
      <c r="AC274" s="523"/>
      <c r="AD274" s="523"/>
      <c r="AE274" s="523"/>
      <c r="AF274" s="523"/>
      <c r="AG274" s="523"/>
      <c r="AH274" s="524"/>
    </row>
    <row r="275" spans="1:70" ht="14.25" customHeight="1" x14ac:dyDescent="0.25">
      <c r="A275" s="390" t="s">
        <v>209</v>
      </c>
      <c r="B275" s="391"/>
      <c r="C275" s="391"/>
      <c r="D275" s="391"/>
      <c r="E275" s="391"/>
      <c r="F275" s="391"/>
      <c r="G275" s="391"/>
      <c r="H275" s="391"/>
      <c r="I275" s="391"/>
      <c r="J275" s="391"/>
      <c r="K275" s="391"/>
      <c r="L275" s="391"/>
      <c r="M275" s="391"/>
      <c r="N275" s="391"/>
      <c r="O275" s="391"/>
      <c r="P275" s="391"/>
      <c r="Q275" s="391"/>
      <c r="R275" s="391"/>
      <c r="S275" s="392"/>
      <c r="T275" s="396"/>
      <c r="U275" s="397"/>
      <c r="V275" s="398"/>
      <c r="X275" s="522"/>
      <c r="Y275" s="523"/>
      <c r="Z275" s="523"/>
      <c r="AA275" s="523"/>
      <c r="AB275" s="523"/>
      <c r="AC275" s="523"/>
      <c r="AD275" s="523"/>
      <c r="AE275" s="523"/>
      <c r="AF275" s="523"/>
      <c r="AG275" s="523"/>
      <c r="AH275" s="524"/>
    </row>
    <row r="276" spans="1:70" ht="14.25" customHeight="1" x14ac:dyDescent="0.25">
      <c r="A276" s="393"/>
      <c r="B276" s="394"/>
      <c r="C276" s="394"/>
      <c r="D276" s="394"/>
      <c r="E276" s="394"/>
      <c r="F276" s="394"/>
      <c r="G276" s="394"/>
      <c r="H276" s="394"/>
      <c r="I276" s="394"/>
      <c r="J276" s="394"/>
      <c r="K276" s="394"/>
      <c r="L276" s="394"/>
      <c r="M276" s="394"/>
      <c r="N276" s="394"/>
      <c r="O276" s="394"/>
      <c r="P276" s="394"/>
      <c r="Q276" s="394"/>
      <c r="R276" s="394"/>
      <c r="S276" s="395"/>
      <c r="T276" s="399"/>
      <c r="U276" s="400"/>
      <c r="V276" s="401"/>
      <c r="X276" s="525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7"/>
    </row>
    <row r="277" spans="1:70" ht="8.25" customHeight="1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1"/>
      <c r="L277" s="11"/>
      <c r="M277" s="11"/>
      <c r="N277" s="11"/>
      <c r="O277" s="11"/>
      <c r="P277" s="11"/>
      <c r="Q277" s="132"/>
      <c r="R277" s="132"/>
      <c r="S277" s="132"/>
      <c r="T277" s="132"/>
      <c r="U277" s="132"/>
      <c r="V277" s="132"/>
      <c r="X277" s="35"/>
      <c r="Y277" s="35"/>
      <c r="Z277" s="35"/>
      <c r="AA277" s="35"/>
      <c r="AB277" s="35"/>
      <c r="AC277" s="35"/>
      <c r="AD277" s="35"/>
      <c r="AE277" s="35"/>
      <c r="AF277" s="35"/>
      <c r="AG277" s="125"/>
      <c r="AH277" s="125"/>
    </row>
    <row r="278" spans="1:70" ht="14.25" customHeight="1" x14ac:dyDescent="0.25"/>
  </sheetData>
  <mergeCells count="406">
    <mergeCell ref="J107:L107"/>
    <mergeCell ref="M102:O102"/>
    <mergeCell ref="D103:P105"/>
    <mergeCell ref="A103:C105"/>
    <mergeCell ref="A138:C138"/>
    <mergeCell ref="D138:F138"/>
    <mergeCell ref="G138:I138"/>
    <mergeCell ref="J138:L138"/>
    <mergeCell ref="M138:O138"/>
    <mergeCell ref="A109:Q111"/>
    <mergeCell ref="G124:I124"/>
    <mergeCell ref="J124:L124"/>
    <mergeCell ref="M124:O124"/>
    <mergeCell ref="A125:C125"/>
    <mergeCell ref="D125:F125"/>
    <mergeCell ref="G125:I125"/>
    <mergeCell ref="J125:L125"/>
    <mergeCell ref="M125:O125"/>
    <mergeCell ref="A112:AH120"/>
    <mergeCell ref="A121:O121"/>
    <mergeCell ref="P121:AH140"/>
    <mergeCell ref="A122:C123"/>
    <mergeCell ref="D122:F123"/>
    <mergeCell ref="G122:I123"/>
    <mergeCell ref="A1:AH3"/>
    <mergeCell ref="A5:AH5"/>
    <mergeCell ref="G7:K7"/>
    <mergeCell ref="L7:AA7"/>
    <mergeCell ref="A9:F10"/>
    <mergeCell ref="G9:T10"/>
    <mergeCell ref="V9:Y9"/>
    <mergeCell ref="Z9:AH9"/>
    <mergeCell ref="V10:Y10"/>
    <mergeCell ref="Z10:AH10"/>
    <mergeCell ref="D4:F4"/>
    <mergeCell ref="H4:K4"/>
    <mergeCell ref="A11:F11"/>
    <mergeCell ref="G11:T11"/>
    <mergeCell ref="V11:Y11"/>
    <mergeCell ref="Z11:AH11"/>
    <mergeCell ref="A12:F12"/>
    <mergeCell ref="G12:T12"/>
    <mergeCell ref="V12:Z12"/>
    <mergeCell ref="AA12:AD12"/>
    <mergeCell ref="AE12:AH12"/>
    <mergeCell ref="V15:Z15"/>
    <mergeCell ref="AA15:AH15"/>
    <mergeCell ref="A17:AH27"/>
    <mergeCell ref="A29:AH29"/>
    <mergeCell ref="A31:G31"/>
    <mergeCell ref="H31:U31"/>
    <mergeCell ref="V31:AH31"/>
    <mergeCell ref="A13:F13"/>
    <mergeCell ref="G13:T13"/>
    <mergeCell ref="V13:Z13"/>
    <mergeCell ref="AA13:AD13"/>
    <mergeCell ref="AE13:AH13"/>
    <mergeCell ref="V14:Z14"/>
    <mergeCell ref="AA14:AD14"/>
    <mergeCell ref="AE14:AH14"/>
    <mergeCell ref="A34:G34"/>
    <mergeCell ref="H34:U34"/>
    <mergeCell ref="V34:AH34"/>
    <mergeCell ref="A35:G35"/>
    <mergeCell ref="H35:U35"/>
    <mergeCell ref="V35:AH35"/>
    <mergeCell ref="A32:G32"/>
    <mergeCell ref="H32:U32"/>
    <mergeCell ref="V32:AH32"/>
    <mergeCell ref="A33:G33"/>
    <mergeCell ref="H33:U33"/>
    <mergeCell ref="V33:AH33"/>
    <mergeCell ref="A38:G38"/>
    <mergeCell ref="H38:U38"/>
    <mergeCell ref="V38:AH38"/>
    <mergeCell ref="A39:G39"/>
    <mergeCell ref="H39:U39"/>
    <mergeCell ref="V39:AH39"/>
    <mergeCell ref="A36:G36"/>
    <mergeCell ref="H36:U36"/>
    <mergeCell ref="V36:AH36"/>
    <mergeCell ref="A37:G37"/>
    <mergeCell ref="H37:U37"/>
    <mergeCell ref="V37:AH37"/>
    <mergeCell ref="A40:G40"/>
    <mergeCell ref="H40:U40"/>
    <mergeCell ref="V40:AH40"/>
    <mergeCell ref="A44:AH44"/>
    <mergeCell ref="A46:D46"/>
    <mergeCell ref="E46:F46"/>
    <mergeCell ref="G46:H46"/>
    <mergeCell ref="I46:J46"/>
    <mergeCell ref="K46:O46"/>
    <mergeCell ref="Y47:AB47"/>
    <mergeCell ref="AC47:AF47"/>
    <mergeCell ref="S48:X48"/>
    <mergeCell ref="Y48:AB48"/>
    <mergeCell ref="AC48:AF48"/>
    <mergeCell ref="A49:I58"/>
    <mergeCell ref="S49:X49"/>
    <mergeCell ref="Y49:AB49"/>
    <mergeCell ref="AC49:AF49"/>
    <mergeCell ref="K50:R56"/>
    <mergeCell ref="S52:X52"/>
    <mergeCell ref="Y52:AB52"/>
    <mergeCell ref="AC52:AF52"/>
    <mergeCell ref="Z54:AC54"/>
    <mergeCell ref="AD54:AG54"/>
    <mergeCell ref="T55:Y55"/>
    <mergeCell ref="Z55:AC55"/>
    <mergeCell ref="AD55:AG55"/>
    <mergeCell ref="S50:X50"/>
    <mergeCell ref="Y50:AB50"/>
    <mergeCell ref="AC50:AF50"/>
    <mergeCell ref="S51:X51"/>
    <mergeCell ref="Y51:AB51"/>
    <mergeCell ref="AC51:AF51"/>
    <mergeCell ref="T56:Y56"/>
    <mergeCell ref="Z56:AC56"/>
    <mergeCell ref="AD56:AG56"/>
    <mergeCell ref="B59:G60"/>
    <mergeCell ref="I59:L60"/>
    <mergeCell ref="N59:S60"/>
    <mergeCell ref="U59:X60"/>
    <mergeCell ref="Y59:AC60"/>
    <mergeCell ref="AD59:AH60"/>
    <mergeCell ref="A76:D77"/>
    <mergeCell ref="F76:J77"/>
    <mergeCell ref="L76:L85"/>
    <mergeCell ref="M76:AH85"/>
    <mergeCell ref="A78:D82"/>
    <mergeCell ref="F78:J81"/>
    <mergeCell ref="A83:E85"/>
    <mergeCell ref="F83:J85"/>
    <mergeCell ref="AD62:AH65"/>
    <mergeCell ref="A69:A74"/>
    <mergeCell ref="B69:G74"/>
    <mergeCell ref="N69:S74"/>
    <mergeCell ref="Y69:AC74"/>
    <mergeCell ref="I70:L73"/>
    <mergeCell ref="U70:X73"/>
    <mergeCell ref="AD70:AH73"/>
    <mergeCell ref="A61:A66"/>
    <mergeCell ref="B61:G66"/>
    <mergeCell ref="N61:S66"/>
    <mergeCell ref="Y61:AC66"/>
    <mergeCell ref="I62:L65"/>
    <mergeCell ref="U62:X65"/>
    <mergeCell ref="A86:D89"/>
    <mergeCell ref="F86:I89"/>
    <mergeCell ref="L87:AH89"/>
    <mergeCell ref="A92:AH92"/>
    <mergeCell ref="A94:J98"/>
    <mergeCell ref="Y94:AB94"/>
    <mergeCell ref="AD94:AG94"/>
    <mergeCell ref="Y95:AB95"/>
    <mergeCell ref="AD95:AG95"/>
    <mergeCell ref="R97:AG97"/>
    <mergeCell ref="M100:O100"/>
    <mergeCell ref="R100:X100"/>
    <mergeCell ref="Y100:AB100"/>
    <mergeCell ref="AD100:AG100"/>
    <mergeCell ref="R101:X101"/>
    <mergeCell ref="Y101:AB101"/>
    <mergeCell ref="AD101:AG101"/>
    <mergeCell ref="R98:X98"/>
    <mergeCell ref="Y98:AB98"/>
    <mergeCell ref="AD98:AG98"/>
    <mergeCell ref="R99:X99"/>
    <mergeCell ref="Y99:AB99"/>
    <mergeCell ref="AD99:AG99"/>
    <mergeCell ref="M99:O99"/>
    <mergeCell ref="M101:O101"/>
    <mergeCell ref="AD104:AG104"/>
    <mergeCell ref="R105:X105"/>
    <mergeCell ref="Y105:AB105"/>
    <mergeCell ref="AD105:AG105"/>
    <mergeCell ref="R106:X106"/>
    <mergeCell ref="Y106:AB106"/>
    <mergeCell ref="AD106:AG106"/>
    <mergeCell ref="R102:X102"/>
    <mergeCell ref="Y102:AB102"/>
    <mergeCell ref="AD102:AG102"/>
    <mergeCell ref="R103:X103"/>
    <mergeCell ref="Y103:AB103"/>
    <mergeCell ref="AD103:AG103"/>
    <mergeCell ref="R104:X104"/>
    <mergeCell ref="Y104:AB104"/>
    <mergeCell ref="R109:X109"/>
    <mergeCell ref="Y109:AB109"/>
    <mergeCell ref="AD109:AG109"/>
    <mergeCell ref="R110:X110"/>
    <mergeCell ref="Y110:AB110"/>
    <mergeCell ref="AD110:AG110"/>
    <mergeCell ref="R111:X111"/>
    <mergeCell ref="Y111:AB111"/>
    <mergeCell ref="AD111:AG111"/>
    <mergeCell ref="J122:L123"/>
    <mergeCell ref="M122:O123"/>
    <mergeCell ref="A124:C124"/>
    <mergeCell ref="D124:F124"/>
    <mergeCell ref="A126:C126"/>
    <mergeCell ref="D126:F126"/>
    <mergeCell ref="G126:I126"/>
    <mergeCell ref="J126:L126"/>
    <mergeCell ref="M126:O126"/>
    <mergeCell ref="A127:C127"/>
    <mergeCell ref="D127:F127"/>
    <mergeCell ref="G127:I127"/>
    <mergeCell ref="J127:L127"/>
    <mergeCell ref="M127:O127"/>
    <mergeCell ref="A128:C128"/>
    <mergeCell ref="D128:F128"/>
    <mergeCell ref="G128:I128"/>
    <mergeCell ref="J128:L128"/>
    <mergeCell ref="M128:O128"/>
    <mergeCell ref="A129:C129"/>
    <mergeCell ref="D129:F129"/>
    <mergeCell ref="G129:I129"/>
    <mergeCell ref="J129:L129"/>
    <mergeCell ref="M129:O129"/>
    <mergeCell ref="A130:C130"/>
    <mergeCell ref="D130:F130"/>
    <mergeCell ref="G130:I130"/>
    <mergeCell ref="J130:L130"/>
    <mergeCell ref="M130:O130"/>
    <mergeCell ref="A131:C131"/>
    <mergeCell ref="D131:F131"/>
    <mergeCell ref="G131:I131"/>
    <mergeCell ref="J131:L131"/>
    <mergeCell ref="M131:O131"/>
    <mergeCell ref="A132:C132"/>
    <mergeCell ref="D132:F132"/>
    <mergeCell ref="G132:I132"/>
    <mergeCell ref="J132:L132"/>
    <mergeCell ref="M132:O132"/>
    <mergeCell ref="A133:C133"/>
    <mergeCell ref="D133:F133"/>
    <mergeCell ref="G133:I133"/>
    <mergeCell ref="J133:L133"/>
    <mergeCell ref="M133:O133"/>
    <mergeCell ref="A134:C134"/>
    <mergeCell ref="D134:F134"/>
    <mergeCell ref="G134:I134"/>
    <mergeCell ref="J134:L134"/>
    <mergeCell ref="M134:O134"/>
    <mergeCell ref="A135:C135"/>
    <mergeCell ref="D135:F135"/>
    <mergeCell ref="G135:I135"/>
    <mergeCell ref="J135:L135"/>
    <mergeCell ref="M135:O135"/>
    <mergeCell ref="A137:C137"/>
    <mergeCell ref="D137:F137"/>
    <mergeCell ref="G137:I137"/>
    <mergeCell ref="J137:L137"/>
    <mergeCell ref="M137:O137"/>
    <mergeCell ref="A136:C136"/>
    <mergeCell ref="D136:F136"/>
    <mergeCell ref="G136:I136"/>
    <mergeCell ref="J136:L136"/>
    <mergeCell ref="M136:O136"/>
    <mergeCell ref="A140:C140"/>
    <mergeCell ref="D140:F140"/>
    <mergeCell ref="G140:I140"/>
    <mergeCell ref="J140:L140"/>
    <mergeCell ref="M140:O140"/>
    <mergeCell ref="AE141:AG141"/>
    <mergeCell ref="A139:C139"/>
    <mergeCell ref="D139:F139"/>
    <mergeCell ref="G139:I139"/>
    <mergeCell ref="J139:L139"/>
    <mergeCell ref="M139:O139"/>
    <mergeCell ref="A144:AH144"/>
    <mergeCell ref="F146:M146"/>
    <mergeCell ref="O146:X146"/>
    <mergeCell ref="A147:E147"/>
    <mergeCell ref="F147:O147"/>
    <mergeCell ref="P147:Y147"/>
    <mergeCell ref="Z147:AH148"/>
    <mergeCell ref="A148:E148"/>
    <mergeCell ref="F148:O148"/>
    <mergeCell ref="P148:Y148"/>
    <mergeCell ref="D155:X155"/>
    <mergeCell ref="Z155:AC155"/>
    <mergeCell ref="AE155:AH155"/>
    <mergeCell ref="A157:H163"/>
    <mergeCell ref="I157:O163"/>
    <mergeCell ref="P157:V163"/>
    <mergeCell ref="W157:AH163"/>
    <mergeCell ref="A150:AH150"/>
    <mergeCell ref="A151:AH152"/>
    <mergeCell ref="Z153:AC153"/>
    <mergeCell ref="AE153:AH153"/>
    <mergeCell ref="D154:X154"/>
    <mergeCell ref="Z154:AC154"/>
    <mergeCell ref="AE154:AH154"/>
    <mergeCell ref="A169:H174"/>
    <mergeCell ref="I169:O174"/>
    <mergeCell ref="P169:V174"/>
    <mergeCell ref="W169:AH174"/>
    <mergeCell ref="A175:AH176"/>
    <mergeCell ref="A179:AH179"/>
    <mergeCell ref="A164:H164"/>
    <mergeCell ref="I164:O164"/>
    <mergeCell ref="P164:V164"/>
    <mergeCell ref="W164:AH164"/>
    <mergeCell ref="A165:H168"/>
    <mergeCell ref="I165:O168"/>
    <mergeCell ref="P165:V168"/>
    <mergeCell ref="W165:AH168"/>
    <mergeCell ref="F181:N182"/>
    <mergeCell ref="P181:T182"/>
    <mergeCell ref="V182:AH185"/>
    <mergeCell ref="A183:E183"/>
    <mergeCell ref="F183:N183"/>
    <mergeCell ref="P183:T183"/>
    <mergeCell ref="A185:E185"/>
    <mergeCell ref="F185:N185"/>
    <mergeCell ref="P185:T185"/>
    <mergeCell ref="AE205:AH205"/>
    <mergeCell ref="A207:AH207"/>
    <mergeCell ref="A209:F209"/>
    <mergeCell ref="G209:O209"/>
    <mergeCell ref="P209:S209"/>
    <mergeCell ref="T209:AB209"/>
    <mergeCell ref="AC209:AD209"/>
    <mergeCell ref="AE209:AH209"/>
    <mergeCell ref="A188:AH191"/>
    <mergeCell ref="A194:AH196"/>
    <mergeCell ref="A199:V201"/>
    <mergeCell ref="X199:AH201"/>
    <mergeCell ref="AE202:AH204"/>
    <mergeCell ref="G203:AC204"/>
    <mergeCell ref="A215:F216"/>
    <mergeCell ref="G215:AH216"/>
    <mergeCell ref="M218:AH218"/>
    <mergeCell ref="A220:F220"/>
    <mergeCell ref="G220:AH221"/>
    <mergeCell ref="A225:AH225"/>
    <mergeCell ref="A211:F211"/>
    <mergeCell ref="G211:K211"/>
    <mergeCell ref="M211:V211"/>
    <mergeCell ref="W211:AH211"/>
    <mergeCell ref="A213:F213"/>
    <mergeCell ref="G213:AH213"/>
    <mergeCell ref="E231:H232"/>
    <mergeCell ref="J231:N232"/>
    <mergeCell ref="P231:T232"/>
    <mergeCell ref="V231:Z232"/>
    <mergeCell ref="E233:H233"/>
    <mergeCell ref="J233:N233"/>
    <mergeCell ref="P233:T233"/>
    <mergeCell ref="V233:Z233"/>
    <mergeCell ref="J228:O228"/>
    <mergeCell ref="Q228:V228"/>
    <mergeCell ref="J229:L229"/>
    <mergeCell ref="M229:O229"/>
    <mergeCell ref="Q229:S229"/>
    <mergeCell ref="T229:V229"/>
    <mergeCell ref="E235:H236"/>
    <mergeCell ref="J235:M236"/>
    <mergeCell ref="O236:AH236"/>
    <mergeCell ref="E237:H237"/>
    <mergeCell ref="J237:M237"/>
    <mergeCell ref="O237:Q237"/>
    <mergeCell ref="R237:S237"/>
    <mergeCell ref="T237:V237"/>
    <mergeCell ref="W237:X237"/>
    <mergeCell ref="Y237:AA237"/>
    <mergeCell ref="A243:E243"/>
    <mergeCell ref="F243:I243"/>
    <mergeCell ref="K243:N243"/>
    <mergeCell ref="A245:E245"/>
    <mergeCell ref="F245:I245"/>
    <mergeCell ref="K245:N245"/>
    <mergeCell ref="AB237:AC237"/>
    <mergeCell ref="AD237:AF237"/>
    <mergeCell ref="AG237:AH237"/>
    <mergeCell ref="F241:I242"/>
    <mergeCell ref="K241:N242"/>
    <mergeCell ref="P242:AH245"/>
    <mergeCell ref="A255:O257"/>
    <mergeCell ref="Q255:AH257"/>
    <mergeCell ref="A259:S260"/>
    <mergeCell ref="U259:X259"/>
    <mergeCell ref="Z259:AC259"/>
    <mergeCell ref="U260:X260"/>
    <mergeCell ref="Z260:AC260"/>
    <mergeCell ref="A248:R249"/>
    <mergeCell ref="T248:Y249"/>
    <mergeCell ref="AB248:AG249"/>
    <mergeCell ref="A250:R251"/>
    <mergeCell ref="T250:Y251"/>
    <mergeCell ref="AB250:AG251"/>
    <mergeCell ref="A272:S273"/>
    <mergeCell ref="T272:V273"/>
    <mergeCell ref="X272:AH276"/>
    <mergeCell ref="A275:S276"/>
    <mergeCell ref="T275:V276"/>
    <mergeCell ref="A264:P265"/>
    <mergeCell ref="Q264:S265"/>
    <mergeCell ref="T264:V265"/>
    <mergeCell ref="X264:AH268"/>
    <mergeCell ref="A267:P268"/>
    <mergeCell ref="Q267:S268"/>
    <mergeCell ref="T267:V268"/>
  </mergeCells>
  <dataValidations count="1">
    <dataValidation type="list" allowBlank="1" showInputMessage="1" showErrorMessage="1" sqref="AA12 AE12:AE13" xr:uid="{00000000-0002-0000-0100-000000000000}">
      <formula1>Tide</formula1>
    </dataValidation>
  </dataValidations>
  <pageMargins left="0.5" right="0.5" top="0.75" bottom="0.75" header="0.3" footer="0.3"/>
  <pageSetup scale="98" fitToHeight="0" orientation="portrait" r:id="rId1"/>
  <headerFooter differentFirst="1">
    <oddHeader>&amp;C&amp;8
New Hampshire’s Tidal Crossing Assessment Protocol Data Sheet (7/14/2017)</oddHeader>
    <oddFooter>&amp;CPage &amp;P</oddFooter>
    <firstFooter>&amp;CPage &amp;P</firstFooter>
  </headerFooter>
  <rowBreaks count="5" manualBreakCount="5">
    <brk id="42" max="33" man="1"/>
    <brk id="90" max="16383" man="1"/>
    <brk id="142" max="16383" man="1"/>
    <brk id="177" max="33" man="1"/>
    <brk id="223" max="33" man="1"/>
  </rowBreaks>
  <colBreaks count="1" manualBreakCount="1">
    <brk id="3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List Box 1">
              <controlPr defaultSize="0" autoLine="0" autoPict="0">
                <anchor moveWithCells="1">
                  <from>
                    <xdr:col>5</xdr:col>
                    <xdr:colOff>38100</xdr:colOff>
                    <xdr:row>184</xdr:row>
                    <xdr:rowOff>28575</xdr:rowOff>
                  </from>
                  <to>
                    <xdr:col>14</xdr:col>
                    <xdr:colOff>57150</xdr:colOff>
                    <xdr:row>184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List Box 2">
              <controlPr defaultSize="0" autoLine="0" autoPict="0">
                <anchor moveWithCells="1">
                  <from>
                    <xdr:col>5</xdr:col>
                    <xdr:colOff>57150</xdr:colOff>
                    <xdr:row>182</xdr:row>
                    <xdr:rowOff>28575</xdr:rowOff>
                  </from>
                  <to>
                    <xdr:col>14</xdr:col>
                    <xdr:colOff>57150</xdr:colOff>
                    <xdr:row>182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List Box 3">
              <controlPr defaultSize="0" autoLine="0" autoPict="0">
                <anchor moveWithCells="1">
                  <from>
                    <xdr:col>15</xdr:col>
                    <xdr:colOff>38100</xdr:colOff>
                    <xdr:row>182</xdr:row>
                    <xdr:rowOff>28575</xdr:rowOff>
                  </from>
                  <to>
                    <xdr:col>20</xdr:col>
                    <xdr:colOff>0</xdr:colOff>
                    <xdr:row>182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List Box 4">
              <controlPr defaultSize="0" autoLine="0" autoPict="0">
                <anchor moveWithCells="1">
                  <from>
                    <xdr:col>15</xdr:col>
                    <xdr:colOff>38100</xdr:colOff>
                    <xdr:row>184</xdr:row>
                    <xdr:rowOff>28575</xdr:rowOff>
                  </from>
                  <to>
                    <xdr:col>20</xdr:col>
                    <xdr:colOff>19050</xdr:colOff>
                    <xdr:row>184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List Box 5">
              <controlPr defaultSize="0" autoLine="0" autoPict="0">
                <anchor moveWithCells="1">
                  <from>
                    <xdr:col>15</xdr:col>
                    <xdr:colOff>95250</xdr:colOff>
                    <xdr:row>147</xdr:row>
                    <xdr:rowOff>57150</xdr:rowOff>
                  </from>
                  <to>
                    <xdr:col>22</xdr:col>
                    <xdr:colOff>133350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 altText="Yes">
                <anchor moveWithCells="1">
                  <from>
                    <xdr:col>9</xdr:col>
                    <xdr:colOff>66675</xdr:colOff>
                    <xdr:row>228</xdr:row>
                    <xdr:rowOff>28575</xdr:rowOff>
                  </from>
                  <to>
                    <xdr:col>12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 altText="">
                <anchor moveWithCells="1">
                  <from>
                    <xdr:col>12</xdr:col>
                    <xdr:colOff>66675</xdr:colOff>
                    <xdr:row>228</xdr:row>
                    <xdr:rowOff>28575</xdr:rowOff>
                  </from>
                  <to>
                    <xdr:col>15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 altText="Yes">
                <anchor moveWithCells="1">
                  <from>
                    <xdr:col>16</xdr:col>
                    <xdr:colOff>66675</xdr:colOff>
                    <xdr:row>228</xdr:row>
                    <xdr:rowOff>28575</xdr:rowOff>
                  </from>
                  <to>
                    <xdr:col>18</xdr:col>
                    <xdr:colOff>152400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 altText="">
                <anchor moveWithCells="1">
                  <from>
                    <xdr:col>19</xdr:col>
                    <xdr:colOff>66675</xdr:colOff>
                    <xdr:row>228</xdr:row>
                    <xdr:rowOff>28575</xdr:rowOff>
                  </from>
                  <to>
                    <xdr:col>21</xdr:col>
                    <xdr:colOff>152400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List Box 10">
              <controlPr defaultSize="0" autoLine="0" autoPict="0">
                <anchor moveWithCells="1">
                  <from>
                    <xdr:col>15</xdr:col>
                    <xdr:colOff>95250</xdr:colOff>
                    <xdr:row>146</xdr:row>
                    <xdr:rowOff>57150</xdr:rowOff>
                  </from>
                  <to>
                    <xdr:col>24</xdr:col>
                    <xdr:colOff>133350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List Box 11">
              <controlPr defaultSize="0" autoLine="0" autoPict="0">
                <anchor moveWithCells="1">
                  <from>
                    <xdr:col>5</xdr:col>
                    <xdr:colOff>95250</xdr:colOff>
                    <xdr:row>147</xdr:row>
                    <xdr:rowOff>57150</xdr:rowOff>
                  </from>
                  <to>
                    <xdr:col>12</xdr:col>
                    <xdr:colOff>152400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List Box 12">
              <controlPr defaultSize="0" autoLine="0" autoPict="0">
                <anchor moveWithCells="1">
                  <from>
                    <xdr:col>5</xdr:col>
                    <xdr:colOff>95250</xdr:colOff>
                    <xdr:row>146</xdr:row>
                    <xdr:rowOff>66675</xdr:rowOff>
                  </from>
                  <to>
                    <xdr:col>15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263</xdr:row>
                    <xdr:rowOff>38100</xdr:rowOff>
                  </from>
                  <to>
                    <xdr:col>18</xdr:col>
                    <xdr:colOff>133350</xdr:colOff>
                    <xdr:row>264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266</xdr:row>
                    <xdr:rowOff>28575</xdr:rowOff>
                  </from>
                  <to>
                    <xdr:col>18</xdr:col>
                    <xdr:colOff>133350</xdr:colOff>
                    <xdr:row>267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 altText="">
                <anchor moveWithCells="1">
                  <from>
                    <xdr:col>19</xdr:col>
                    <xdr:colOff>104775</xdr:colOff>
                    <xdr:row>263</xdr:row>
                    <xdr:rowOff>28575</xdr:rowOff>
                  </from>
                  <to>
                    <xdr:col>21</xdr:col>
                    <xdr:colOff>133350</xdr:colOff>
                    <xdr:row>264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 altText="">
                <anchor moveWithCells="1">
                  <from>
                    <xdr:col>19</xdr:col>
                    <xdr:colOff>104775</xdr:colOff>
                    <xdr:row>266</xdr:row>
                    <xdr:rowOff>28575</xdr:rowOff>
                  </from>
                  <to>
                    <xdr:col>21</xdr:col>
                    <xdr:colOff>133350</xdr:colOff>
                    <xdr:row>267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List Box 17">
              <controlPr defaultSize="0" autoLine="0" autoPict="0">
                <anchor moveWithCells="1">
                  <from>
                    <xdr:col>0</xdr:col>
                    <xdr:colOff>19050</xdr:colOff>
                    <xdr:row>48</xdr:row>
                    <xdr:rowOff>57150</xdr:rowOff>
                  </from>
                  <to>
                    <xdr:col>9</xdr:col>
                    <xdr:colOff>57150</xdr:colOff>
                    <xdr:row>57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List Box 18">
              <controlPr defaultSize="0" autoLine="0" autoPict="0">
                <anchor moveWithCells="1">
                  <from>
                    <xdr:col>10</xdr:col>
                    <xdr:colOff>152400</xdr:colOff>
                    <xdr:row>50</xdr:row>
                    <xdr:rowOff>9525</xdr:rowOff>
                  </from>
                  <to>
                    <xdr:col>17</xdr:col>
                    <xdr:colOff>104775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List Box 19">
              <controlPr defaultSize="0" autoLine="0" autoPict="0">
                <anchor moveWithCells="1">
                  <from>
                    <xdr:col>1</xdr:col>
                    <xdr:colOff>38100</xdr:colOff>
                    <xdr:row>60</xdr:row>
                    <xdr:rowOff>57150</xdr:rowOff>
                  </from>
                  <to>
                    <xdr:col>6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List Box 20">
              <controlPr defaultSize="0" autoLine="0" autoPict="0">
                <anchor moveWithCells="1">
                  <from>
                    <xdr:col>8</xdr:col>
                    <xdr:colOff>38100</xdr:colOff>
                    <xdr:row>61</xdr:row>
                    <xdr:rowOff>28575</xdr:rowOff>
                  </from>
                  <to>
                    <xdr:col>11</xdr:col>
                    <xdr:colOff>152400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List Box 21">
              <controlPr defaultSize="0" autoLine="0" autoPict="0">
                <anchor moveWithCells="1">
                  <from>
                    <xdr:col>24</xdr:col>
                    <xdr:colOff>133350</xdr:colOff>
                    <xdr:row>60</xdr:row>
                    <xdr:rowOff>57150</xdr:rowOff>
                  </from>
                  <to>
                    <xdr:col>28</xdr:col>
                    <xdr:colOff>152400</xdr:colOff>
                    <xdr:row>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List Box 30">
              <controlPr defaultSize="0" autoLine="0" autoPict="0">
                <anchor moveWithCells="1">
                  <from>
                    <xdr:col>0</xdr:col>
                    <xdr:colOff>19050</xdr:colOff>
                    <xdr:row>77</xdr:row>
                    <xdr:rowOff>28575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List Box 31">
              <controlPr defaultSize="0" autoLine="0" autoPict="0">
                <anchor moveWithCells="1">
                  <from>
                    <xdr:col>5</xdr:col>
                    <xdr:colOff>133350</xdr:colOff>
                    <xdr:row>77</xdr:row>
                    <xdr:rowOff>28575</xdr:rowOff>
                  </from>
                  <to>
                    <xdr:col>9</xdr:col>
                    <xdr:colOff>66675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List Box 32">
              <controlPr defaultSize="0" autoLine="0" autoPict="0">
                <anchor moveWithCells="1">
                  <from>
                    <xdr:col>29</xdr:col>
                    <xdr:colOff>104775</xdr:colOff>
                    <xdr:row>61</xdr:row>
                    <xdr:rowOff>28575</xdr:rowOff>
                  </from>
                  <to>
                    <xdr:col>33</xdr:col>
                    <xdr:colOff>38100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List Box 33">
              <controlPr defaultSize="0" autoLine="0" autoPict="0">
                <anchor moveWithCells="1">
                  <from>
                    <xdr:col>13</xdr:col>
                    <xdr:colOff>38100</xdr:colOff>
                    <xdr:row>60</xdr:row>
                    <xdr:rowOff>57150</xdr:rowOff>
                  </from>
                  <to>
                    <xdr:col>18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List Box 34">
              <controlPr defaultSize="0" autoLine="0" autoPict="0">
                <anchor moveWithCells="1">
                  <from>
                    <xdr:col>5</xdr:col>
                    <xdr:colOff>38100</xdr:colOff>
                    <xdr:row>85</xdr:row>
                    <xdr:rowOff>66675</xdr:rowOff>
                  </from>
                  <to>
                    <xdr:col>8</xdr:col>
                    <xdr:colOff>66675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List Box 35">
              <controlPr defaultSize="0" autoLine="0" autoPict="0">
                <anchor moveWithCells="1">
                  <from>
                    <xdr:col>0</xdr:col>
                    <xdr:colOff>28575</xdr:colOff>
                    <xdr:row>85</xdr:row>
                    <xdr:rowOff>76200</xdr:rowOff>
                  </from>
                  <to>
                    <xdr:col>3</xdr:col>
                    <xdr:colOff>57150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List Box 36">
              <controlPr defaultSize="0" autoLine="0" autoPict="0">
                <anchor moveWithCells="1">
                  <from>
                    <xdr:col>20</xdr:col>
                    <xdr:colOff>38100</xdr:colOff>
                    <xdr:row>61</xdr:row>
                    <xdr:rowOff>28575</xdr:rowOff>
                  </from>
                  <to>
                    <xdr:col>23</xdr:col>
                    <xdr:colOff>104775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List Box 37">
              <controlPr defaultSize="0" autoLine="0" autoPict="0">
                <anchor moveWithCells="1">
                  <from>
                    <xdr:col>1</xdr:col>
                    <xdr:colOff>38100</xdr:colOff>
                    <xdr:row>67</xdr:row>
                    <xdr:rowOff>57150</xdr:rowOff>
                  </from>
                  <to>
                    <xdr:col>6</xdr:col>
                    <xdr:colOff>152400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List Box 38">
              <controlPr defaultSize="0" autoLine="0" autoPict="0">
                <anchor moveWithCells="1">
                  <from>
                    <xdr:col>8</xdr:col>
                    <xdr:colOff>38100</xdr:colOff>
                    <xdr:row>69</xdr:row>
                    <xdr:rowOff>28575</xdr:rowOff>
                  </from>
                  <to>
                    <xdr:col>11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List Box 39">
              <controlPr defaultSize="0" autoLine="0" autoPict="0">
                <anchor moveWithCells="1">
                  <from>
                    <xdr:col>24</xdr:col>
                    <xdr:colOff>133350</xdr:colOff>
                    <xdr:row>67</xdr:row>
                    <xdr:rowOff>57150</xdr:rowOff>
                  </from>
                  <to>
                    <xdr:col>28</xdr:col>
                    <xdr:colOff>152400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List Box 40">
              <controlPr defaultSize="0" autoLine="0" autoPict="0">
                <anchor moveWithCells="1">
                  <from>
                    <xdr:col>29</xdr:col>
                    <xdr:colOff>104775</xdr:colOff>
                    <xdr:row>69</xdr:row>
                    <xdr:rowOff>28575</xdr:rowOff>
                  </from>
                  <to>
                    <xdr:col>33</xdr:col>
                    <xdr:colOff>38100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List Box 41">
              <controlPr defaultSize="0" autoLine="0" autoPict="0">
                <anchor moveWithCells="1">
                  <from>
                    <xdr:col>13</xdr:col>
                    <xdr:colOff>38100</xdr:colOff>
                    <xdr:row>67</xdr:row>
                    <xdr:rowOff>57150</xdr:rowOff>
                  </from>
                  <to>
                    <xdr:col>18</xdr:col>
                    <xdr:colOff>152400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List Box 42">
              <controlPr defaultSize="0" autoLine="0" autoPict="0">
                <anchor moveWithCells="1">
                  <from>
                    <xdr:col>20</xdr:col>
                    <xdr:colOff>38100</xdr:colOff>
                    <xdr:row>69</xdr:row>
                    <xdr:rowOff>28575</xdr:rowOff>
                  </from>
                  <to>
                    <xdr:col>23</xdr:col>
                    <xdr:colOff>104775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10</xdr:col>
                    <xdr:colOff>180975</xdr:colOff>
                    <xdr:row>162</xdr:row>
                    <xdr:rowOff>171450</xdr:rowOff>
                  </from>
                  <to>
                    <xdr:col>14</xdr:col>
                    <xdr:colOff>66675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17</xdr:col>
                    <xdr:colOff>133350</xdr:colOff>
                    <xdr:row>162</xdr:row>
                    <xdr:rowOff>171450</xdr:rowOff>
                  </from>
                  <to>
                    <xdr:col>21</xdr:col>
                    <xdr:colOff>38100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27</xdr:col>
                    <xdr:colOff>19050</xdr:colOff>
                    <xdr:row>162</xdr:row>
                    <xdr:rowOff>171450</xdr:rowOff>
                  </from>
                  <to>
                    <xdr:col>30</xdr:col>
                    <xdr:colOff>133350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10</xdr:col>
                    <xdr:colOff>171450</xdr:colOff>
                    <xdr:row>165</xdr:row>
                    <xdr:rowOff>66675</xdr:rowOff>
                  </from>
                  <to>
                    <xdr:col>14</xdr:col>
                    <xdr:colOff>66675</xdr:colOff>
                    <xdr:row>166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17</xdr:col>
                    <xdr:colOff>133350</xdr:colOff>
                    <xdr:row>165</xdr:row>
                    <xdr:rowOff>66675</xdr:rowOff>
                  </from>
                  <to>
                    <xdr:col>21</xdr:col>
                    <xdr:colOff>38100</xdr:colOff>
                    <xdr:row>166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27</xdr:col>
                    <xdr:colOff>19050</xdr:colOff>
                    <xdr:row>165</xdr:row>
                    <xdr:rowOff>66675</xdr:rowOff>
                  </from>
                  <to>
                    <xdr:col>30</xdr:col>
                    <xdr:colOff>133350</xdr:colOff>
                    <xdr:row>166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44" name="Check Box 49">
              <controlPr defaultSize="0" autoFill="0" autoLine="0" autoPict="0">
                <anchor moveWithCells="1">
                  <from>
                    <xdr:col>10</xdr:col>
                    <xdr:colOff>171450</xdr:colOff>
                    <xdr:row>170</xdr:row>
                    <xdr:rowOff>95250</xdr:rowOff>
                  </from>
                  <to>
                    <xdr:col>14</xdr:col>
                    <xdr:colOff>66675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45" name="Check Box 50">
              <controlPr defaultSize="0" autoFill="0" autoLine="0" autoPict="0">
                <anchor moveWithCells="1">
                  <from>
                    <xdr:col>17</xdr:col>
                    <xdr:colOff>133350</xdr:colOff>
                    <xdr:row>170</xdr:row>
                    <xdr:rowOff>95250</xdr:rowOff>
                  </from>
                  <to>
                    <xdr:col>21</xdr:col>
                    <xdr:colOff>38100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46" name="Check Box 51">
              <controlPr defaultSize="0" autoFill="0" autoLine="0" autoPict="0">
                <anchor moveWithCells="1">
                  <from>
                    <xdr:col>27</xdr:col>
                    <xdr:colOff>19050</xdr:colOff>
                    <xdr:row>170</xdr:row>
                    <xdr:rowOff>95250</xdr:rowOff>
                  </from>
                  <to>
                    <xdr:col>30</xdr:col>
                    <xdr:colOff>133350</xdr:colOff>
                    <xdr:row>171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124"/>
  <sheetViews>
    <sheetView view="pageLayout" zoomScale="90" zoomScaleNormal="85" zoomScalePageLayoutView="90" workbookViewId="0">
      <selection activeCell="G4" sqref="G4:K4"/>
    </sheetView>
  </sheetViews>
  <sheetFormatPr defaultColWidth="2.28515625" defaultRowHeight="14.25" customHeight="1" x14ac:dyDescent="0.25"/>
  <cols>
    <col min="1" max="34" width="2.7109375" customWidth="1"/>
    <col min="35" max="35" width="1" style="53" customWidth="1"/>
    <col min="36" max="36" width="2.7109375" customWidth="1"/>
    <col min="40" max="40" width="2.7109375" customWidth="1"/>
    <col min="43" max="43" width="4" bestFit="1" customWidth="1"/>
  </cols>
  <sheetData>
    <row r="1" spans="1:36" s="53" customFormat="1" ht="14.25" customHeight="1" x14ac:dyDescent="0.25">
      <c r="A1" s="663" t="s">
        <v>277</v>
      </c>
      <c r="B1" s="664"/>
      <c r="C1" s="664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  <c r="T1" s="664"/>
      <c r="U1" s="664"/>
      <c r="V1" s="664"/>
      <c r="W1" s="664"/>
      <c r="X1" s="664"/>
      <c r="Y1" s="664"/>
      <c r="Z1" s="664"/>
      <c r="AA1" s="664"/>
      <c r="AB1" s="664"/>
      <c r="AC1" s="664"/>
      <c r="AD1" s="664"/>
      <c r="AE1" s="664"/>
      <c r="AF1" s="664"/>
      <c r="AG1" s="664"/>
      <c r="AH1" s="664"/>
      <c r="AI1" s="664"/>
      <c r="AJ1" s="665"/>
    </row>
    <row r="2" spans="1:36" s="53" customFormat="1" ht="14.25" customHeight="1" x14ac:dyDescent="0.25">
      <c r="A2" s="666"/>
      <c r="B2" s="667"/>
      <c r="C2" s="667"/>
      <c r="D2" s="667"/>
      <c r="E2" s="667"/>
      <c r="F2" s="667"/>
      <c r="G2" s="667"/>
      <c r="H2" s="667"/>
      <c r="I2" s="667"/>
      <c r="J2" s="667"/>
      <c r="K2" s="667"/>
      <c r="L2" s="667"/>
      <c r="M2" s="667"/>
      <c r="N2" s="667"/>
      <c r="O2" s="667"/>
      <c r="P2" s="667"/>
      <c r="Q2" s="667"/>
      <c r="R2" s="667"/>
      <c r="S2" s="667"/>
      <c r="T2" s="667"/>
      <c r="U2" s="667"/>
      <c r="V2" s="667"/>
      <c r="W2" s="667"/>
      <c r="X2" s="667"/>
      <c r="Y2" s="667"/>
      <c r="Z2" s="667"/>
      <c r="AA2" s="667"/>
      <c r="AB2" s="667"/>
      <c r="AC2" s="667"/>
      <c r="AD2" s="667"/>
      <c r="AE2" s="667"/>
      <c r="AF2" s="667"/>
      <c r="AG2" s="667"/>
      <c r="AH2" s="667"/>
      <c r="AI2" s="667"/>
      <c r="AJ2" s="668"/>
    </row>
    <row r="3" spans="1:36" s="53" customFormat="1" ht="14.25" customHeight="1" x14ac:dyDescent="0.25">
      <c r="A3" s="666"/>
      <c r="B3" s="667"/>
      <c r="C3" s="667"/>
      <c r="D3" s="667"/>
      <c r="E3" s="667"/>
      <c r="F3" s="667"/>
      <c r="G3" s="667"/>
      <c r="H3" s="667"/>
      <c r="I3" s="667"/>
      <c r="J3" s="667"/>
      <c r="K3" s="667"/>
      <c r="L3" s="667"/>
      <c r="M3" s="667"/>
      <c r="N3" s="667"/>
      <c r="O3" s="667"/>
      <c r="P3" s="667"/>
      <c r="Q3" s="667"/>
      <c r="R3" s="667"/>
      <c r="S3" s="667"/>
      <c r="T3" s="667"/>
      <c r="U3" s="667"/>
      <c r="V3" s="667"/>
      <c r="W3" s="667"/>
      <c r="X3" s="667"/>
      <c r="Y3" s="667"/>
      <c r="Z3" s="667"/>
      <c r="AA3" s="667"/>
      <c r="AB3" s="667"/>
      <c r="AC3" s="667"/>
      <c r="AD3" s="667"/>
      <c r="AE3" s="667"/>
      <c r="AF3" s="667"/>
      <c r="AG3" s="667"/>
      <c r="AH3" s="667"/>
      <c r="AI3" s="667"/>
      <c r="AJ3" s="668"/>
    </row>
    <row r="4" spans="1:36" s="53" customFormat="1" ht="14.25" customHeight="1" x14ac:dyDescent="0.25">
      <c r="A4" s="179"/>
      <c r="B4" s="5"/>
      <c r="C4" s="5"/>
      <c r="D4" s="5"/>
      <c r="E4" s="5"/>
      <c r="F4" s="5"/>
      <c r="G4" s="671" t="str">
        <f>'Data Sheet - SITE'!G7</f>
        <v>Crossing ID:</v>
      </c>
      <c r="H4" s="671"/>
      <c r="I4" s="671"/>
      <c r="J4" s="671"/>
      <c r="K4" s="382"/>
      <c r="L4" s="379">
        <v>37</v>
      </c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  <c r="Y4" s="380"/>
      <c r="Z4" s="380"/>
      <c r="AA4" s="381"/>
      <c r="AB4" s="5"/>
      <c r="AC4" s="5"/>
      <c r="AD4" s="5"/>
      <c r="AE4" s="5"/>
      <c r="AF4" s="5"/>
      <c r="AG4" s="5"/>
      <c r="AH4" s="5"/>
      <c r="AI4" s="5"/>
      <c r="AJ4" s="141"/>
    </row>
    <row r="5" spans="1:36" s="53" customFormat="1" ht="13.15" customHeight="1" x14ac:dyDescent="0.25">
      <c r="A5" s="672" t="str">
        <f>'Data Sheet - SITE'!A9</f>
        <v>Observer(s) &amp; Organization:</v>
      </c>
      <c r="B5" s="673"/>
      <c r="C5" s="673"/>
      <c r="D5" s="673"/>
      <c r="E5" s="673"/>
      <c r="F5" s="673"/>
      <c r="G5" s="674" t="s">
        <v>305</v>
      </c>
      <c r="H5" s="675"/>
      <c r="I5" s="675"/>
      <c r="J5" s="675"/>
      <c r="K5" s="675"/>
      <c r="L5" s="675"/>
      <c r="M5" s="675"/>
      <c r="N5" s="675"/>
      <c r="O5" s="675"/>
      <c r="P5" s="675"/>
      <c r="Q5" s="675"/>
      <c r="R5" s="675"/>
      <c r="S5" s="675"/>
      <c r="T5" s="676"/>
      <c r="U5" s="183"/>
      <c r="V5" s="680" t="str">
        <f>'Data Sheet - SITE'!V9</f>
        <v>Date:</v>
      </c>
      <c r="W5" s="681"/>
      <c r="X5" s="681"/>
      <c r="Y5" s="682"/>
      <c r="Z5" s="683">
        <v>42978</v>
      </c>
      <c r="AA5" s="684"/>
      <c r="AB5" s="684"/>
      <c r="AC5" s="684"/>
      <c r="AD5" s="684"/>
      <c r="AE5" s="684"/>
      <c r="AF5" s="684"/>
      <c r="AG5" s="684"/>
      <c r="AH5" s="685"/>
      <c r="AI5" s="191"/>
      <c r="AJ5" s="141"/>
    </row>
    <row r="6" spans="1:36" s="53" customFormat="1" ht="13.15" customHeight="1" x14ac:dyDescent="0.25">
      <c r="A6" s="672"/>
      <c r="B6" s="673"/>
      <c r="C6" s="673"/>
      <c r="D6" s="673"/>
      <c r="E6" s="673"/>
      <c r="F6" s="673"/>
      <c r="G6" s="677"/>
      <c r="H6" s="678"/>
      <c r="I6" s="678"/>
      <c r="J6" s="678"/>
      <c r="K6" s="678"/>
      <c r="L6" s="678"/>
      <c r="M6" s="678"/>
      <c r="N6" s="678"/>
      <c r="O6" s="678"/>
      <c r="P6" s="678"/>
      <c r="Q6" s="678"/>
      <c r="R6" s="678"/>
      <c r="S6" s="678"/>
      <c r="T6" s="679"/>
      <c r="U6" s="183"/>
      <c r="V6" s="686" t="str">
        <f>'Data Sheet - SITE'!V10</f>
        <v>Start Time:</v>
      </c>
      <c r="W6" s="687"/>
      <c r="X6" s="687"/>
      <c r="Y6" s="688"/>
      <c r="Z6" s="689">
        <v>0.44791666666666669</v>
      </c>
      <c r="AA6" s="690"/>
      <c r="AB6" s="690"/>
      <c r="AC6" s="690"/>
      <c r="AD6" s="690"/>
      <c r="AE6" s="690"/>
      <c r="AF6" s="690"/>
      <c r="AG6" s="690"/>
      <c r="AH6" s="691"/>
      <c r="AI6" s="192"/>
      <c r="AJ6" s="141"/>
    </row>
    <row r="7" spans="1:36" s="53" customFormat="1" ht="10.9" customHeight="1" x14ac:dyDescent="0.25">
      <c r="A7" s="692" t="str">
        <f>'Data Sheet - SITE'!A11</f>
        <v>Municipality:</v>
      </c>
      <c r="B7" s="693"/>
      <c r="C7" s="693"/>
      <c r="D7" s="693"/>
      <c r="E7" s="693"/>
      <c r="F7" s="693"/>
      <c r="G7" s="694" t="s">
        <v>306</v>
      </c>
      <c r="H7" s="695"/>
      <c r="I7" s="695"/>
      <c r="J7" s="695"/>
      <c r="K7" s="695"/>
      <c r="L7" s="695"/>
      <c r="M7" s="695"/>
      <c r="N7" s="695"/>
      <c r="O7" s="695"/>
      <c r="P7" s="695"/>
      <c r="Q7" s="695"/>
      <c r="R7" s="695"/>
      <c r="S7" s="695"/>
      <c r="T7" s="696"/>
      <c r="U7" s="183"/>
      <c r="V7" s="697" t="str">
        <f>'Data Sheet - SITE'!V11</f>
        <v>End Time:</v>
      </c>
      <c r="W7" s="698"/>
      <c r="X7" s="698"/>
      <c r="Y7" s="699"/>
      <c r="Z7" s="700">
        <v>0.51041666666666663</v>
      </c>
      <c r="AA7" s="701"/>
      <c r="AB7" s="701"/>
      <c r="AC7" s="701"/>
      <c r="AD7" s="701"/>
      <c r="AE7" s="701"/>
      <c r="AF7" s="701"/>
      <c r="AG7" s="701"/>
      <c r="AH7" s="702"/>
      <c r="AI7" s="192"/>
      <c r="AJ7" s="141"/>
    </row>
    <row r="8" spans="1:36" s="53" customFormat="1" ht="10.9" customHeight="1" x14ac:dyDescent="0.25">
      <c r="A8" s="692" t="str">
        <f>'Data Sheet - SITE'!A12</f>
        <v>Stream Name:</v>
      </c>
      <c r="B8" s="693"/>
      <c r="C8" s="693"/>
      <c r="D8" s="693"/>
      <c r="E8" s="693"/>
      <c r="F8" s="693"/>
      <c r="G8" s="694" t="s">
        <v>307</v>
      </c>
      <c r="H8" s="695"/>
      <c r="I8" s="695"/>
      <c r="J8" s="695"/>
      <c r="K8" s="695"/>
      <c r="L8" s="695"/>
      <c r="M8" s="695"/>
      <c r="N8" s="695"/>
      <c r="O8" s="695"/>
      <c r="P8" s="695"/>
      <c r="Q8" s="695"/>
      <c r="R8" s="695"/>
      <c r="S8" s="695"/>
      <c r="T8" s="696"/>
      <c r="U8" s="183"/>
      <c r="V8" s="703" t="str">
        <f>'Data Sheet - SITE'!V12</f>
        <v>Tide Prediction</v>
      </c>
      <c r="W8" s="704"/>
      <c r="X8" s="704"/>
      <c r="Y8" s="704"/>
      <c r="Z8" s="705"/>
      <c r="AA8" s="706" t="str">
        <f>'Data Sheet - SITE'!AA12</f>
        <v>High</v>
      </c>
      <c r="AB8" s="707"/>
      <c r="AC8" s="707"/>
      <c r="AD8" s="708"/>
      <c r="AE8" s="706" t="str">
        <f>'Data Sheet - SITE'!AE12</f>
        <v>Low</v>
      </c>
      <c r="AF8" s="707"/>
      <c r="AG8" s="707"/>
      <c r="AH8" s="708"/>
      <c r="AI8" s="208"/>
      <c r="AJ8" s="141"/>
    </row>
    <row r="9" spans="1:36" s="53" customFormat="1" ht="10.9" customHeight="1" x14ac:dyDescent="0.25">
      <c r="A9" s="692" t="str">
        <f>'Data Sheet - SITE'!A13</f>
        <v>Road Name:</v>
      </c>
      <c r="B9" s="693"/>
      <c r="C9" s="693"/>
      <c r="D9" s="693"/>
      <c r="E9" s="693"/>
      <c r="F9" s="693"/>
      <c r="G9" s="694" t="s">
        <v>308</v>
      </c>
      <c r="H9" s="695"/>
      <c r="I9" s="695"/>
      <c r="J9" s="695"/>
      <c r="K9" s="695"/>
      <c r="L9" s="695"/>
      <c r="M9" s="695"/>
      <c r="N9" s="695"/>
      <c r="O9" s="695"/>
      <c r="P9" s="695"/>
      <c r="Q9" s="695"/>
      <c r="R9" s="695"/>
      <c r="S9" s="695"/>
      <c r="T9" s="696"/>
      <c r="U9" s="183"/>
      <c r="V9" s="709" t="str">
        <f>'Data Sheet - SITE'!V13</f>
        <v>Time:</v>
      </c>
      <c r="W9" s="710"/>
      <c r="X9" s="710"/>
      <c r="Y9" s="710"/>
      <c r="Z9" s="711"/>
      <c r="AA9" s="712">
        <v>0.30416666666666664</v>
      </c>
      <c r="AB9" s="713"/>
      <c r="AC9" s="713"/>
      <c r="AD9" s="714"/>
      <c r="AE9" s="715">
        <v>0.53333333333333333</v>
      </c>
      <c r="AF9" s="716"/>
      <c r="AG9" s="716"/>
      <c r="AH9" s="717"/>
      <c r="AI9" s="193"/>
      <c r="AJ9" s="141"/>
    </row>
    <row r="10" spans="1:36" s="53" customFormat="1" ht="10.9" customHeight="1" x14ac:dyDescent="0.25">
      <c r="A10" s="184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718" t="str">
        <f>'Data Sheet - SITE'!V14</f>
        <v>Elevation:</v>
      </c>
      <c r="W10" s="719"/>
      <c r="X10" s="719"/>
      <c r="Y10" s="719"/>
      <c r="Z10" s="720"/>
      <c r="AA10" s="721">
        <v>2.15</v>
      </c>
      <c r="AB10" s="722"/>
      <c r="AC10" s="722"/>
      <c r="AD10" s="723"/>
      <c r="AE10" s="721" t="s">
        <v>309</v>
      </c>
      <c r="AF10" s="722"/>
      <c r="AG10" s="722"/>
      <c r="AH10" s="723"/>
      <c r="AI10" s="194"/>
      <c r="AJ10" s="141"/>
    </row>
    <row r="11" spans="1:36" s="53" customFormat="1" ht="14.25" customHeight="1" x14ac:dyDescent="0.25">
      <c r="A11" s="195" t="s">
        <v>251</v>
      </c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727" t="s">
        <v>261</v>
      </c>
      <c r="O11" s="727"/>
      <c r="P11" s="727"/>
      <c r="Q11" s="727"/>
      <c r="R11" s="181"/>
      <c r="S11" s="181"/>
      <c r="T11" s="181"/>
      <c r="U11" s="181"/>
      <c r="V11" s="724" t="str">
        <f>'Data Sheet - SITE'!V15</f>
        <v>Tide Chart Location:</v>
      </c>
      <c r="W11" s="725"/>
      <c r="X11" s="725"/>
      <c r="Y11" s="725"/>
      <c r="Z11" s="726"/>
      <c r="AA11" s="301" t="s">
        <v>310</v>
      </c>
      <c r="AB11" s="302"/>
      <c r="AC11" s="302"/>
      <c r="AD11" s="302"/>
      <c r="AE11" s="302"/>
      <c r="AF11" s="302"/>
      <c r="AG11" s="302"/>
      <c r="AH11" s="303"/>
      <c r="AI11" s="180"/>
      <c r="AJ11" s="198"/>
    </row>
    <row r="12" spans="1:36" s="53" customFormat="1" ht="14.25" customHeight="1" x14ac:dyDescent="0.25">
      <c r="A12" s="186"/>
      <c r="B12" s="181" t="s">
        <v>56</v>
      </c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638">
        <f>IF(AND(Calculations!D3&gt;=3,Calculations!F3=0),1,IF(AND(Calculations!E3&gt;=3,Calculations!F3=0),2,IF(OR(Calculations!F3=1,Calculations!G3=1),3,IF(OR(Calculations!F3=2,Calculations!G3=2),4,IF(OR(Calculations!F3&gt;=3,Calculations!G3&gt;=3),5,0)))))</f>
        <v>2</v>
      </c>
      <c r="O12" s="638"/>
      <c r="P12" s="638"/>
      <c r="Q12" s="638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97"/>
      <c r="AC12" s="197"/>
      <c r="AD12" s="197"/>
      <c r="AE12" s="197"/>
      <c r="AF12" s="197"/>
      <c r="AG12" s="197"/>
      <c r="AH12" s="197"/>
      <c r="AI12" s="197"/>
      <c r="AJ12" s="198"/>
    </row>
    <row r="13" spans="1:36" s="53" customFormat="1" ht="14.25" customHeight="1" x14ac:dyDescent="0.25">
      <c r="A13" s="195" t="s">
        <v>252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638" t="s">
        <v>273</v>
      </c>
      <c r="T13" s="638"/>
      <c r="U13" s="638"/>
      <c r="V13" s="638"/>
      <c r="W13" s="638"/>
      <c r="X13" s="638"/>
      <c r="Y13" s="638"/>
      <c r="Z13" s="638"/>
      <c r="AA13" s="5"/>
      <c r="AB13" s="638" t="s">
        <v>274</v>
      </c>
      <c r="AC13" s="638"/>
      <c r="AD13" s="638"/>
      <c r="AE13" s="638"/>
      <c r="AF13" s="638"/>
      <c r="AG13" s="638"/>
      <c r="AH13" s="638"/>
      <c r="AI13" s="638"/>
      <c r="AJ13" s="640"/>
    </row>
    <row r="14" spans="1:36" s="53" customFormat="1" ht="14.25" customHeight="1" x14ac:dyDescent="0.25">
      <c r="A14" s="182"/>
      <c r="B14" s="187" t="s">
        <v>253</v>
      </c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638" t="e">
        <f>IF(AND(Calculations!C9&gt;=0.9,'Data Sheet - SITE'!AD55=NO),1,IF(Calculations!C9&gt;=0.8,2,IF(Calculations!C9&gt;=0.7,3,IF(Calculations!C9&gt;=0.5,4,IF(AND(Calculations!C9&lt;0.5,'Data Sheet - SITE'!AD56=YES),5,0)))))</f>
        <v>#NAME?</v>
      </c>
      <c r="O14" s="638"/>
      <c r="P14" s="638"/>
      <c r="Q14" s="638"/>
      <c r="R14" s="181"/>
      <c r="S14" s="638"/>
      <c r="T14" s="638"/>
      <c r="U14" s="638"/>
      <c r="V14" s="638"/>
      <c r="W14" s="638"/>
      <c r="X14" s="638"/>
      <c r="Y14" s="638"/>
      <c r="Z14" s="638"/>
      <c r="AA14" s="5"/>
      <c r="AB14" s="638"/>
      <c r="AC14" s="638"/>
      <c r="AD14" s="638"/>
      <c r="AE14" s="638"/>
      <c r="AF14" s="638"/>
      <c r="AG14" s="638"/>
      <c r="AH14" s="638"/>
      <c r="AI14" s="638"/>
      <c r="AJ14" s="640"/>
    </row>
    <row r="15" spans="1:36" s="53" customFormat="1" ht="14.25" customHeight="1" x14ac:dyDescent="0.25">
      <c r="A15" s="182"/>
      <c r="B15" s="187" t="s">
        <v>262</v>
      </c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638">
        <f>IF(OR('Data Sheet - SITE'!A49&lt;&gt;12,'Data Sheet - SITE'!A49&lt;&gt;13),IF(Calculations!E9&lt;1,1,IF(Calculations!E9=1,2,IF(Calculations!E9&lt;2.3,IF(AND(Calculations!E9&gt;=2,Calculations!E9&lt;=5),4,IF(Calculations!E9&gt;5,5,IF(OR('Data Sheet - SITE'!A49=12,'Data Sheet - SITE'!A49=13),IF(Calculations!F9&lt;1,1,IF(Calculations!F9=1,2,IF(Calculations!F9&lt;2.3,IF(AND(Calculations!F9&gt;=2,Calculations!F9&lt;=5),4,IF(Calculations!F9&gt;5,5,0))))))))))))</f>
        <v>1</v>
      </c>
      <c r="O15" s="638"/>
      <c r="P15" s="638">
        <f>IF(OR('Data Sheet - SITE'!A49&lt;&gt;12,'Data Sheet - SITE'!A49&lt;&gt;13),IF(Calculations!H9&lt;1,1,IF(Calculations!H9=1,2,IF(Calculations!H9&lt;2.3,IF(AND(Calculations!H9&gt;=2,Calculations!H9&lt;=5),4,IF(Calculations!H9&gt;5,5,IF(OR('Data Sheet - SITE'!A49=12,'Data Sheet - SITE'!A49=13),IF(Calculations!I9&lt;1,1,IF(Calculations!I9=1,2,IF(Calculations!I9&lt;2.3,IF(AND(Calculations!I9&gt;=2,Calculations!I9&lt;=5),4,IF(Calculations!I9&gt;5,5,0))))))))))))</f>
        <v>1</v>
      </c>
      <c r="Q15" s="638"/>
      <c r="R15" s="181"/>
      <c r="S15" s="638"/>
      <c r="T15" s="638"/>
      <c r="U15" s="638"/>
      <c r="V15" s="638"/>
      <c r="W15" s="638"/>
      <c r="X15" s="638"/>
      <c r="Y15" s="638"/>
      <c r="Z15" s="638"/>
      <c r="AA15" s="5"/>
      <c r="AB15" s="638"/>
      <c r="AC15" s="638"/>
      <c r="AD15" s="638"/>
      <c r="AE15" s="638"/>
      <c r="AF15" s="638"/>
      <c r="AG15" s="638"/>
      <c r="AH15" s="638"/>
      <c r="AI15" s="638"/>
      <c r="AJ15" s="640"/>
    </row>
    <row r="16" spans="1:36" s="53" customFormat="1" ht="14.25" customHeight="1" x14ac:dyDescent="0.25">
      <c r="A16" s="182"/>
      <c r="B16" s="187" t="s">
        <v>263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638" t="e">
        <f>IF(Calculations!A2&lt;=1,1,IF(AND(Calculations!A2&gt;1,Calculations!A2&lt;=1.2),2,IF(AND(Calculations!A2&gt;1.2,Calculations!A2&lt;=1.5),3,IF(AND(Calculations!A2&gt;1.5,Calculations!A2&lt;=2),4,IF(Calculations!A2&gt;2,5,0)))))</f>
        <v>#DIV/0!</v>
      </c>
      <c r="O16" s="638"/>
      <c r="P16" s="638" t="e">
        <f>IF(Calculations!B2&lt;=1,1,IF(AND(Calculations!B2&gt;1,Calculations!B2&lt;=1.2),2,IF(AND(Calculations!B2&gt;1.2,Calculations!B2&lt;=1.5),3,IF(AND(Calculations!B2&gt;1.5,Calculations!B2&lt;=2),4,IF(Calculations!B2&gt;2,5,0)))))</f>
        <v>#DIV/0!</v>
      </c>
      <c r="Q16" s="638"/>
      <c r="R16" s="181"/>
      <c r="S16" s="638"/>
      <c r="T16" s="638"/>
      <c r="U16" s="638"/>
      <c r="V16" s="638"/>
      <c r="W16" s="638"/>
      <c r="X16" s="638"/>
      <c r="Y16" s="638"/>
      <c r="Z16" s="638"/>
      <c r="AA16" s="5"/>
      <c r="AB16" s="638"/>
      <c r="AC16" s="638"/>
      <c r="AD16" s="638"/>
      <c r="AE16" s="638"/>
      <c r="AF16" s="638"/>
      <c r="AG16" s="638"/>
      <c r="AH16" s="638"/>
      <c r="AI16" s="638"/>
      <c r="AJ16" s="640"/>
    </row>
    <row r="17" spans="1:36" s="53" customFormat="1" ht="14.25" customHeight="1" x14ac:dyDescent="0.25">
      <c r="A17" s="182"/>
      <c r="B17" s="187" t="s">
        <v>254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638" t="e">
        <f>AVERAGE(N14,IF(N15&gt;P15,N15,P15),IF(N16&gt;P16,N16,P16))</f>
        <v>#DIV/0!</v>
      </c>
      <c r="O17" s="638"/>
      <c r="P17" s="638"/>
      <c r="Q17" s="638"/>
      <c r="R17" s="181"/>
      <c r="S17" s="638"/>
      <c r="T17" s="638"/>
      <c r="U17" s="638"/>
      <c r="V17" s="638"/>
      <c r="W17" s="638"/>
      <c r="X17" s="638"/>
      <c r="Y17" s="638"/>
      <c r="Z17" s="638"/>
      <c r="AA17" s="5"/>
      <c r="AB17" s="638"/>
      <c r="AC17" s="638"/>
      <c r="AD17" s="638"/>
      <c r="AE17" s="638"/>
      <c r="AF17" s="638"/>
      <c r="AG17" s="638"/>
      <c r="AH17" s="638"/>
      <c r="AI17" s="638"/>
      <c r="AJ17" s="640"/>
    </row>
    <row r="18" spans="1:36" s="53" customFormat="1" ht="14.25" customHeight="1" x14ac:dyDescent="0.25">
      <c r="A18" s="195" t="s">
        <v>255</v>
      </c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638"/>
      <c r="T18" s="638"/>
      <c r="U18" s="638"/>
      <c r="V18" s="638"/>
      <c r="W18" s="638"/>
      <c r="X18" s="638"/>
      <c r="Y18" s="638"/>
      <c r="Z18" s="638"/>
      <c r="AA18" s="5"/>
      <c r="AB18" s="638"/>
      <c r="AC18" s="638"/>
      <c r="AD18" s="638"/>
      <c r="AE18" s="638"/>
      <c r="AF18" s="638"/>
      <c r="AG18" s="638"/>
      <c r="AH18" s="638"/>
      <c r="AI18" s="638"/>
      <c r="AJ18" s="640"/>
    </row>
    <row r="19" spans="1:36" s="53" customFormat="1" ht="14.25" customHeight="1" x14ac:dyDescent="0.25">
      <c r="A19" s="182"/>
      <c r="B19" s="187" t="s">
        <v>253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638" t="e">
        <f>N14</f>
        <v>#NAME?</v>
      </c>
      <c r="O19" s="638"/>
      <c r="P19" s="638"/>
      <c r="Q19" s="638"/>
      <c r="R19" s="181"/>
      <c r="S19" s="638"/>
      <c r="T19" s="638"/>
      <c r="U19" s="638"/>
      <c r="V19" s="638"/>
      <c r="W19" s="638"/>
      <c r="X19" s="638"/>
      <c r="Y19" s="638"/>
      <c r="Z19" s="638"/>
      <c r="AA19" s="5"/>
      <c r="AB19" s="638"/>
      <c r="AC19" s="638"/>
      <c r="AD19" s="638"/>
      <c r="AE19" s="638"/>
      <c r="AF19" s="638"/>
      <c r="AG19" s="638"/>
      <c r="AH19" s="638"/>
      <c r="AI19" s="638"/>
      <c r="AJ19" s="640"/>
    </row>
    <row r="20" spans="1:36" s="53" customFormat="1" ht="14.25" customHeight="1" x14ac:dyDescent="0.25">
      <c r="A20" s="195" t="s">
        <v>256</v>
      </c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638"/>
      <c r="T20" s="638"/>
      <c r="U20" s="638"/>
      <c r="V20" s="638"/>
      <c r="W20" s="638"/>
      <c r="X20" s="638"/>
      <c r="Y20" s="638"/>
      <c r="Z20" s="638"/>
      <c r="AA20" s="5"/>
      <c r="AB20" s="638"/>
      <c r="AC20" s="638"/>
      <c r="AD20" s="638"/>
      <c r="AE20" s="638"/>
      <c r="AF20" s="638"/>
      <c r="AG20" s="638"/>
      <c r="AH20" s="638"/>
      <c r="AI20" s="638"/>
      <c r="AJ20" s="640"/>
    </row>
    <row r="21" spans="1:36" s="53" customFormat="1" ht="14.25" customHeight="1" x14ac:dyDescent="0.25">
      <c r="A21" s="185"/>
      <c r="B21" s="187" t="s">
        <v>264</v>
      </c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638">
        <f>IF('Data Sheet - SITE'!AB251&lt;=1,1,IF(AND('Data Sheet - SITE'!AB251&gt;1,'Data Sheet - SITE'!AB251&lt;=2),2,IF(AND('Data Sheet - SITE'!AB251&gt;2,'Data Sheet - SITE'!AB251&lt;=5),3,IF(AND('Data Sheet - SITE'!AB251&gt;5,'Data Sheet - SITE'!AB251&lt;=10),4,IF('Data Sheet - SITE'!AB251&gt;10,5,0)))))</f>
        <v>1</v>
      </c>
      <c r="O21" s="638"/>
      <c r="P21" s="638"/>
      <c r="Q21" s="638"/>
      <c r="R21" s="181"/>
      <c r="S21" s="181"/>
      <c r="T21" s="181"/>
      <c r="U21" s="181"/>
      <c r="V21" s="181"/>
      <c r="W21" s="181"/>
      <c r="X21" s="181"/>
      <c r="Y21" s="181"/>
      <c r="Z21" s="181"/>
      <c r="AA21" s="5"/>
      <c r="AB21" s="181"/>
      <c r="AC21" s="181"/>
      <c r="AD21" s="181"/>
      <c r="AE21" s="181"/>
      <c r="AF21" s="181"/>
      <c r="AG21" s="181"/>
      <c r="AH21" s="181"/>
      <c r="AI21" s="181"/>
      <c r="AJ21" s="188"/>
    </row>
    <row r="22" spans="1:36" s="53" customFormat="1" ht="14.25" customHeight="1" x14ac:dyDescent="0.25">
      <c r="A22" s="182"/>
      <c r="B22" s="187" t="s">
        <v>265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638">
        <f>IF('Data Sheet - SITE'!T251&lt;=1,1,IF(AND('Data Sheet - SITE'!T251&gt;1,'Data Sheet - SITE'!T251&lt;=2),2,IF(AND('Data Sheet - SITE'!T251&gt;2,'Data Sheet - SITE'!T251&lt;=5),3,IF(AND('Data Sheet - SITE'!T251&gt;5,'Data Sheet - SITE'!T251&lt;=10),4,IF('Data Sheet - SITE'!T251&gt;10,5,0)))))</f>
        <v>1</v>
      </c>
      <c r="O22" s="638"/>
      <c r="P22" s="638"/>
      <c r="Q22" s="638"/>
      <c r="R22" s="181"/>
      <c r="S22" s="638" t="s">
        <v>275</v>
      </c>
      <c r="T22" s="638"/>
      <c r="U22" s="638"/>
      <c r="V22" s="638"/>
      <c r="W22" s="638"/>
      <c r="X22" s="638"/>
      <c r="Y22" s="638"/>
      <c r="Z22" s="638"/>
      <c r="AA22" s="5"/>
      <c r="AB22" s="638" t="s">
        <v>276</v>
      </c>
      <c r="AC22" s="638"/>
      <c r="AD22" s="638"/>
      <c r="AE22" s="638"/>
      <c r="AF22" s="638"/>
      <c r="AG22" s="638"/>
      <c r="AH22" s="638"/>
      <c r="AI22" s="638"/>
      <c r="AJ22" s="640"/>
    </row>
    <row r="23" spans="1:36" s="53" customFormat="1" ht="14.25" customHeight="1" x14ac:dyDescent="0.25">
      <c r="A23" s="195" t="s">
        <v>257</v>
      </c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638"/>
      <c r="T23" s="638"/>
      <c r="U23" s="638"/>
      <c r="V23" s="638"/>
      <c r="W23" s="638"/>
      <c r="X23" s="638"/>
      <c r="Y23" s="638"/>
      <c r="Z23" s="638"/>
      <c r="AA23" s="5"/>
      <c r="AB23" s="638"/>
      <c r="AC23" s="638"/>
      <c r="AD23" s="638"/>
      <c r="AE23" s="638"/>
      <c r="AF23" s="638"/>
      <c r="AG23" s="638"/>
      <c r="AH23" s="638"/>
      <c r="AI23" s="638"/>
      <c r="AJ23" s="640"/>
    </row>
    <row r="24" spans="1:36" s="53" customFormat="1" ht="14.25" customHeight="1" x14ac:dyDescent="0.25">
      <c r="A24" s="182"/>
      <c r="B24" s="187" t="s">
        <v>258</v>
      </c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638">
        <f>IF('Data Sheet - SITE'!I164=TRUE,1,IF('Data Sheet - SITE'!P164=TRUE,3,IF('Data Sheet - SITE'!W164=TRUE,5,IF('Data Sheet - SITE'!I169=TRUE,3,IF('Data Sheet - SITE'!P169=TRUE,4,IF('Data Sheet - SITE'!W169=TRUE,5,0))))))</f>
        <v>4</v>
      </c>
      <c r="O24" s="638"/>
      <c r="P24" s="638"/>
      <c r="Q24" s="638"/>
      <c r="R24" s="181"/>
      <c r="S24" s="638"/>
      <c r="T24" s="638"/>
      <c r="U24" s="638"/>
      <c r="V24" s="638"/>
      <c r="W24" s="638"/>
      <c r="X24" s="638"/>
      <c r="Y24" s="638"/>
      <c r="Z24" s="638"/>
      <c r="AA24" s="5"/>
      <c r="AB24" s="638"/>
      <c r="AC24" s="638"/>
      <c r="AD24" s="638"/>
      <c r="AE24" s="638"/>
      <c r="AF24" s="638"/>
      <c r="AG24" s="638"/>
      <c r="AH24" s="638"/>
      <c r="AI24" s="638"/>
      <c r="AJ24" s="640"/>
    </row>
    <row r="25" spans="1:36" s="53" customFormat="1" ht="14.25" customHeight="1" x14ac:dyDescent="0.25">
      <c r="A25" s="195" t="s">
        <v>259</v>
      </c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638"/>
      <c r="T25" s="638"/>
      <c r="U25" s="638"/>
      <c r="V25" s="638"/>
      <c r="W25" s="638"/>
      <c r="X25" s="638"/>
      <c r="Y25" s="638"/>
      <c r="Z25" s="638"/>
      <c r="AA25" s="5"/>
      <c r="AB25" s="638"/>
      <c r="AC25" s="638"/>
      <c r="AD25" s="638"/>
      <c r="AE25" s="638"/>
      <c r="AF25" s="638"/>
      <c r="AG25" s="638"/>
      <c r="AH25" s="638"/>
      <c r="AI25" s="638"/>
      <c r="AJ25" s="640"/>
    </row>
    <row r="26" spans="1:36" s="53" customFormat="1" ht="14.25" customHeight="1" x14ac:dyDescent="0.25">
      <c r="A26" s="182"/>
      <c r="B26" s="187" t="s">
        <v>266</v>
      </c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  <c r="N26" s="638">
        <f>IF(Calculations!A14&gt;6,1,IF(AND(Calculations!A14&gt;3,Calculations!A14&lt;=6),2,IF(AND(Calculations!A14&gt;1.5,Calculations!A14&lt;=3),3,IF(AND(Calculations!A14&gt;0,Calculations!A14&lt;=1.5),4,IF(Calculations!A14=0,5,0)))))</f>
        <v>4</v>
      </c>
      <c r="O26" s="638"/>
      <c r="P26" s="638">
        <f>IF(Calculations!D14&gt;6,1,IF(AND(Calculations!D14&gt;3,Calculations!D14&lt;=6),2,IF(AND(Calculations!D14&gt;1.5,Calculations!D14&lt;=3),3,IF(AND(Calculations!D14&gt;0,Calculations!D14&lt;=1.5),4,IF(Calculations!D14=0,5,0)))))</f>
        <v>5</v>
      </c>
      <c r="Q26" s="638"/>
      <c r="R26" s="181"/>
      <c r="S26" s="638"/>
      <c r="T26" s="638"/>
      <c r="U26" s="638"/>
      <c r="V26" s="638"/>
      <c r="W26" s="638"/>
      <c r="X26" s="638"/>
      <c r="Y26" s="638"/>
      <c r="Z26" s="638"/>
      <c r="AA26" s="5"/>
      <c r="AB26" s="638"/>
      <c r="AC26" s="638"/>
      <c r="AD26" s="638"/>
      <c r="AE26" s="638"/>
      <c r="AF26" s="638"/>
      <c r="AG26" s="638"/>
      <c r="AH26" s="638"/>
      <c r="AI26" s="638"/>
      <c r="AJ26" s="640"/>
    </row>
    <row r="27" spans="1:36" s="53" customFormat="1" ht="14.25" customHeight="1" x14ac:dyDescent="0.25">
      <c r="A27" s="182"/>
      <c r="B27" s="187" t="s">
        <v>267</v>
      </c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638">
        <f>IF(Calculations!E14&gt;3,1,IF(AND(Calculations!E14&gt;2,Calculations!E14&lt;=3),2,IF(AND(Calculations!E14&gt;1,Calculations!E14&lt;=2),3,IF(AND(Calculations!E14&gt;0,Calculations!E14&lt;=1),4,IF(Calculations!E14=0,5,0)))))</f>
        <v>0</v>
      </c>
      <c r="O27" s="638"/>
      <c r="P27" s="638">
        <f>IF(Calculations!F14&gt;3,1,IF(AND(Calculations!F14&gt;2,Calculations!F14&lt;=3),2,IF(AND(Calculations!F14&gt;1,Calculations!F14&lt;=2),3,IF(AND(Calculations!F14&gt;0,Calculations!F14&lt;=1),4,IF(Calculations!F14=0,5,0)))))</f>
        <v>2</v>
      </c>
      <c r="Q27" s="638"/>
      <c r="R27" s="181"/>
      <c r="S27" s="638"/>
      <c r="T27" s="638"/>
      <c r="U27" s="638"/>
      <c r="V27" s="638"/>
      <c r="W27" s="638"/>
      <c r="X27" s="638"/>
      <c r="Y27" s="638"/>
      <c r="Z27" s="638"/>
      <c r="AA27" s="5"/>
      <c r="AB27" s="638"/>
      <c r="AC27" s="638"/>
      <c r="AD27" s="638"/>
      <c r="AE27" s="638"/>
      <c r="AF27" s="638"/>
      <c r="AG27" s="638"/>
      <c r="AH27" s="638"/>
      <c r="AI27" s="638"/>
      <c r="AJ27" s="640"/>
    </row>
    <row r="28" spans="1:36" s="53" customFormat="1" ht="14.25" customHeight="1" x14ac:dyDescent="0.25">
      <c r="A28" s="195" t="s">
        <v>260</v>
      </c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638"/>
      <c r="T28" s="638"/>
      <c r="U28" s="638"/>
      <c r="V28" s="638"/>
      <c r="W28" s="638"/>
      <c r="X28" s="638"/>
      <c r="Y28" s="638"/>
      <c r="Z28" s="638"/>
      <c r="AA28" s="5"/>
      <c r="AB28" s="638"/>
      <c r="AC28" s="638"/>
      <c r="AD28" s="638"/>
      <c r="AE28" s="638"/>
      <c r="AF28" s="638"/>
      <c r="AG28" s="638"/>
      <c r="AH28" s="638"/>
      <c r="AI28" s="638"/>
      <c r="AJ28" s="640"/>
    </row>
    <row r="29" spans="1:36" s="53" customFormat="1" ht="14.25" customHeight="1" x14ac:dyDescent="0.25">
      <c r="A29" s="182"/>
      <c r="B29" s="189" t="s">
        <v>268</v>
      </c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81"/>
      <c r="N29" s="638">
        <f>IF('Data Sheet - SITE'!T272=0,5,IF('Data Sheet - SITE'!T272=1,4,IF('Data Sheet - SITE'!T272=2,3,IF(AND('Data Sheet - SITE'!T272=3,'Data Sheet - SITE'!T272=4,'Data Sheet - SITE'!T272=5),2,IF('Data Sheet - SITE'!T272&gt;5,1,0)))))</f>
        <v>5</v>
      </c>
      <c r="O29" s="638"/>
      <c r="P29" s="638"/>
      <c r="Q29" s="638"/>
      <c r="R29" s="181"/>
      <c r="S29" s="638"/>
      <c r="T29" s="638"/>
      <c r="U29" s="638"/>
      <c r="V29" s="638"/>
      <c r="W29" s="638"/>
      <c r="X29" s="638"/>
      <c r="Y29" s="638"/>
      <c r="Z29" s="638"/>
      <c r="AA29" s="5"/>
      <c r="AB29" s="638"/>
      <c r="AC29" s="638"/>
      <c r="AD29" s="638"/>
      <c r="AE29" s="638"/>
      <c r="AF29" s="638"/>
      <c r="AG29" s="638"/>
      <c r="AH29" s="638"/>
      <c r="AI29" s="638"/>
      <c r="AJ29" s="640"/>
    </row>
    <row r="30" spans="1:36" s="53" customFormat="1" ht="14.25" customHeight="1" x14ac:dyDescent="0.25">
      <c r="A30" s="196" t="s">
        <v>269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  <c r="AA30" s="181"/>
      <c r="AB30" s="5"/>
      <c r="AC30" s="5"/>
      <c r="AD30" s="5"/>
      <c r="AE30" s="5"/>
      <c r="AF30" s="5"/>
      <c r="AG30" s="5"/>
      <c r="AH30" s="5"/>
      <c r="AI30" s="5"/>
      <c r="AJ30" s="202"/>
    </row>
    <row r="31" spans="1:36" s="53" customFormat="1" ht="14.25" customHeight="1" x14ac:dyDescent="0.25">
      <c r="A31" s="199"/>
      <c r="B31" s="218" t="s">
        <v>270</v>
      </c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638">
        <f>IF(N26&gt;P26,IF(AND(N12=1,N26&lt;=2),1,IF(OR(N12=2,N26&lt;=3),2,IF(OR(N12=3,N26=3),3,IF(OR(N12&gt;=4,N26&gt;=4),4,IF(OR(N12=5,N26=5),5,0))))),IF(AND(N12=1,P26&lt;=2),1,IF(OR(N12=2,P26&lt;=3),2,IF(OR(N12=3,P26=3),3,IF(OR(N12&gt;=4,P26&gt;=4),4,IF(OR(N12=5,P26=5),5,0))))))</f>
        <v>2</v>
      </c>
      <c r="O31" s="638"/>
      <c r="P31" s="638"/>
      <c r="Q31" s="638"/>
      <c r="R31" s="211"/>
      <c r="S31" s="200"/>
      <c r="T31" s="200"/>
      <c r="U31" s="200"/>
      <c r="V31" s="200"/>
      <c r="W31" s="200"/>
      <c r="X31" s="200"/>
      <c r="Y31" s="200"/>
      <c r="Z31" s="200"/>
      <c r="AA31" s="200"/>
      <c r="AB31" s="5"/>
      <c r="AC31" s="5"/>
      <c r="AD31" s="5"/>
      <c r="AE31" s="5"/>
      <c r="AF31" s="5"/>
      <c r="AG31" s="5"/>
      <c r="AH31" s="5"/>
      <c r="AI31" s="5"/>
      <c r="AJ31" s="202"/>
    </row>
    <row r="32" spans="1:36" s="53" customFormat="1" ht="14.25" customHeight="1" x14ac:dyDescent="0.25">
      <c r="A32" s="199"/>
      <c r="B32" s="218" t="s">
        <v>184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638" t="e">
        <f>IF(AND(N17&lt;=2,N24=1),1,IF(OR(N17=3,N19=3,N21=3,N24=3),3,IF(OR(N17&gt;=4,N19&gt;=4,N24&gt;=4,AND(N17&gt;=3,N21&gt;=3)),4,IF(OR(N17=5,N19=5,AND(N21=5,N17&gt;=3),AND(N24=5,N17&gt;=3)),5,0))))</f>
        <v>#DIV/0!</v>
      </c>
      <c r="O32" s="638"/>
      <c r="P32" s="638"/>
      <c r="Q32" s="638"/>
      <c r="R32" s="211"/>
      <c r="S32" s="200"/>
      <c r="T32" s="200"/>
      <c r="U32" s="200"/>
      <c r="V32" s="200"/>
      <c r="W32" s="200"/>
      <c r="X32" s="200"/>
      <c r="Y32" s="200"/>
      <c r="Z32" s="200"/>
      <c r="AA32" s="200"/>
      <c r="AB32" s="5"/>
      <c r="AC32" s="5"/>
      <c r="AD32" s="5"/>
      <c r="AE32" s="5"/>
      <c r="AF32" s="5"/>
      <c r="AG32" s="5"/>
      <c r="AH32" s="5"/>
      <c r="AI32" s="5"/>
      <c r="AJ32" s="202"/>
    </row>
    <row r="33" spans="1:36" s="53" customFormat="1" ht="14.25" customHeight="1" x14ac:dyDescent="0.25">
      <c r="A33" s="199"/>
      <c r="B33" s="218" t="s">
        <v>271</v>
      </c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638" t="e">
        <f>IF(N26&gt;P26,IF(AND(N12=1,N17&lt;=2,N24=1,N26&lt;=2),1,IF(OR(N12=2,N17&lt;=2,N24=1,N26&lt;=3),2,IF(OR(N12=3,N17=3,N19=3,N21=3,N24=3,N26=3),3,IF(OR(N12&gt;=4,N17&gt;=4,N19&gt;=4,N24&gt;=4,N26&gt;=4,AND(N21&gt;=4,N17&gt;=3)),4,IF(OR(N12=5,N17=5,N19=5,N26=5,AND(N21=5,N17&gt;=3),AND(N24=5,N17&gt;=3)),5,0))))),IF(AND(N12=1,N17&lt;=2,N24=1,P26&lt;=2),1,IF(OR(N12=2,N17&lt;=2,N24=1,P26&lt;=3),2,IF(OR(N12=3,N17=3,N19=3,N21=3,N24=3,P26=3),3,IF(OR(N12&gt;=4,N17&gt;=4,N19&gt;=4,N24&gt;=4,P26&gt;=4,AND(N21&gt;=4,N17&gt;=3)),4,IF(OR(N12=5,N17=5,N19=5,P26=5,AND(N21=5,N17&gt;=3),AND(N24=5,N17&gt;=3)),5,0))))))</f>
        <v>#DIV/0!</v>
      </c>
      <c r="O33" s="638"/>
      <c r="P33" s="638"/>
      <c r="Q33" s="638"/>
      <c r="R33" s="211"/>
      <c r="S33" s="200"/>
      <c r="T33" s="200"/>
      <c r="U33" s="200"/>
      <c r="V33" s="200"/>
      <c r="W33" s="200"/>
      <c r="X33" s="200"/>
      <c r="Y33" s="200"/>
      <c r="Z33" s="200"/>
      <c r="AA33" s="200"/>
      <c r="AB33" s="733" t="s">
        <v>281</v>
      </c>
      <c r="AC33" s="733"/>
      <c r="AD33" s="733"/>
      <c r="AE33" s="733"/>
      <c r="AF33" s="733"/>
      <c r="AG33" s="733"/>
      <c r="AH33" s="733"/>
      <c r="AI33" s="733"/>
      <c r="AJ33" s="734"/>
    </row>
    <row r="34" spans="1:36" s="53" customFormat="1" ht="13.15" customHeight="1" x14ac:dyDescent="0.25">
      <c r="A34" s="199"/>
      <c r="B34" s="218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00"/>
      <c r="T34" s="200"/>
      <c r="U34" s="200"/>
      <c r="V34" s="200"/>
      <c r="W34" s="200"/>
      <c r="X34" s="200"/>
      <c r="Y34" s="200"/>
      <c r="Z34" s="200"/>
      <c r="AA34" s="200"/>
      <c r="AB34" s="731" t="s">
        <v>229</v>
      </c>
      <c r="AC34" s="731"/>
      <c r="AD34" s="731" t="s">
        <v>230</v>
      </c>
      <c r="AE34" s="731"/>
      <c r="AF34" s="731" t="s">
        <v>278</v>
      </c>
      <c r="AG34" s="731"/>
      <c r="AH34" s="731" t="s">
        <v>279</v>
      </c>
      <c r="AI34" s="731"/>
      <c r="AJ34" s="732"/>
    </row>
    <row r="35" spans="1:36" s="53" customFormat="1" ht="13.15" customHeight="1" x14ac:dyDescent="0.25">
      <c r="A35" s="17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641">
        <f t="shared" ref="AB35:AB51" si="0">U62</f>
        <v>0</v>
      </c>
      <c r="AC35" s="641"/>
      <c r="AD35" s="641">
        <f t="shared" ref="AD35:AD51" si="1">X62</f>
        <v>-5.0999999999999988</v>
      </c>
      <c r="AE35" s="641"/>
      <c r="AF35" s="641" t="str">
        <f t="shared" ref="AF35:AF51" si="2">AA62</f>
        <v>HC</v>
      </c>
      <c r="AG35" s="641"/>
      <c r="AH35" s="641" t="str">
        <f t="shared" ref="AH35:AH51" si="3">AD62</f>
        <v>G</v>
      </c>
      <c r="AI35" s="641"/>
      <c r="AJ35" s="730"/>
    </row>
    <row r="36" spans="1:36" s="53" customFormat="1" ht="13.15" customHeight="1" x14ac:dyDescent="0.25">
      <c r="A36" s="728"/>
      <c r="B36" s="729"/>
      <c r="C36" s="729"/>
      <c r="D36" s="729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641">
        <f t="shared" si="0"/>
        <v>15</v>
      </c>
      <c r="AC36" s="641"/>
      <c r="AD36" s="641">
        <f t="shared" si="1"/>
        <v>-4.28</v>
      </c>
      <c r="AE36" s="641"/>
      <c r="AF36" s="641" t="str">
        <f t="shared" si="2"/>
        <v>HC</v>
      </c>
      <c r="AG36" s="641"/>
      <c r="AH36" s="641" t="str">
        <f t="shared" si="3"/>
        <v>G</v>
      </c>
      <c r="AI36" s="641"/>
      <c r="AJ36" s="730"/>
    </row>
    <row r="37" spans="1:36" s="53" customFormat="1" ht="13.15" customHeight="1" x14ac:dyDescent="0.25">
      <c r="A37" s="728"/>
      <c r="B37" s="729"/>
      <c r="C37" s="729"/>
      <c r="D37" s="729"/>
      <c r="E37" s="729"/>
      <c r="F37" s="729"/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  <c r="U37" s="729"/>
      <c r="V37" s="729"/>
      <c r="W37" s="729"/>
      <c r="X37" s="729"/>
      <c r="Y37" s="729"/>
      <c r="Z37" s="729"/>
      <c r="AA37" s="729"/>
      <c r="AB37" s="641">
        <f t="shared" si="0"/>
        <v>27</v>
      </c>
      <c r="AC37" s="641"/>
      <c r="AD37" s="641">
        <f t="shared" si="1"/>
        <v>-4.88</v>
      </c>
      <c r="AE37" s="641"/>
      <c r="AF37" s="641" t="str">
        <f t="shared" si="2"/>
        <v>P</v>
      </c>
      <c r="AG37" s="641"/>
      <c r="AH37" s="641" t="str">
        <f t="shared" si="3"/>
        <v>G</v>
      </c>
      <c r="AI37" s="641"/>
      <c r="AJ37" s="730"/>
    </row>
    <row r="38" spans="1:36" s="53" customFormat="1" ht="13.15" customHeight="1" x14ac:dyDescent="0.25">
      <c r="A38" s="728"/>
      <c r="B38" s="729"/>
      <c r="C38" s="729"/>
      <c r="D38" s="729"/>
      <c r="E38" s="729"/>
      <c r="F38" s="729"/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  <c r="U38" s="729"/>
      <c r="V38" s="729"/>
      <c r="W38" s="729"/>
      <c r="X38" s="729"/>
      <c r="Y38" s="729"/>
      <c r="Z38" s="729"/>
      <c r="AA38" s="729"/>
      <c r="AB38" s="641">
        <f t="shared" si="0"/>
        <v>28</v>
      </c>
      <c r="AC38" s="641"/>
      <c r="AD38" s="641">
        <f t="shared" si="1"/>
        <v>-4.88</v>
      </c>
      <c r="AE38" s="641"/>
      <c r="AF38" s="641" t="str">
        <f t="shared" si="2"/>
        <v>GC</v>
      </c>
      <c r="AG38" s="641"/>
      <c r="AH38" s="641" t="str">
        <f t="shared" si="3"/>
        <v>G</v>
      </c>
      <c r="AI38" s="641"/>
      <c r="AJ38" s="730"/>
    </row>
    <row r="39" spans="1:36" ht="13.15" customHeight="1" x14ac:dyDescent="0.25">
      <c r="A39" s="728"/>
      <c r="B39" s="729"/>
      <c r="C39" s="729"/>
      <c r="D39" s="729"/>
      <c r="E39" s="729"/>
      <c r="F39" s="729"/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  <c r="U39" s="729"/>
      <c r="V39" s="729"/>
      <c r="W39" s="729"/>
      <c r="X39" s="729"/>
      <c r="Y39" s="729"/>
      <c r="Z39" s="729"/>
      <c r="AA39" s="729"/>
      <c r="AB39" s="641">
        <f t="shared" si="0"/>
        <v>29</v>
      </c>
      <c r="AC39" s="641"/>
      <c r="AD39" s="641">
        <f t="shared" si="1"/>
        <v>-4.9099999999999993</v>
      </c>
      <c r="AE39" s="641"/>
      <c r="AF39" s="641" t="str">
        <f t="shared" si="2"/>
        <v>I</v>
      </c>
      <c r="AG39" s="641"/>
      <c r="AH39" s="641" t="str">
        <f t="shared" si="3"/>
        <v>G</v>
      </c>
      <c r="AI39" s="641"/>
      <c r="AJ39" s="730"/>
    </row>
    <row r="40" spans="1:36" ht="13.15" customHeight="1" x14ac:dyDescent="0.25">
      <c r="A40" s="728"/>
      <c r="B40" s="729"/>
      <c r="C40" s="729"/>
      <c r="D40" s="729"/>
      <c r="E40" s="729"/>
      <c r="F40" s="729"/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  <c r="U40" s="729"/>
      <c r="V40" s="729"/>
      <c r="W40" s="729"/>
      <c r="X40" s="729"/>
      <c r="Y40" s="729"/>
      <c r="Z40" s="729"/>
      <c r="AA40" s="729"/>
      <c r="AB40" s="641">
        <f t="shared" si="0"/>
        <v>73</v>
      </c>
      <c r="AC40" s="641"/>
      <c r="AD40" s="641">
        <f t="shared" si="1"/>
        <v>-5.46</v>
      </c>
      <c r="AE40" s="641"/>
      <c r="AF40" s="641" t="str">
        <f t="shared" si="2"/>
        <v>I</v>
      </c>
      <c r="AG40" s="641"/>
      <c r="AH40" s="641" t="str">
        <f t="shared" si="3"/>
        <v>G</v>
      </c>
      <c r="AI40" s="641"/>
      <c r="AJ40" s="730"/>
    </row>
    <row r="41" spans="1:36" ht="13.15" customHeight="1" x14ac:dyDescent="0.25">
      <c r="A41" s="728"/>
      <c r="B41" s="729"/>
      <c r="C41" s="729"/>
      <c r="D41" s="729"/>
      <c r="E41" s="729"/>
      <c r="F41" s="729"/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  <c r="U41" s="729"/>
      <c r="V41" s="729"/>
      <c r="W41" s="729"/>
      <c r="X41" s="729"/>
      <c r="Y41" s="729"/>
      <c r="Z41" s="729"/>
      <c r="AA41" s="729"/>
      <c r="AB41" s="641">
        <f t="shared" si="0"/>
        <v>75</v>
      </c>
      <c r="AC41" s="641"/>
      <c r="AD41" s="641">
        <f t="shared" si="1"/>
        <v>-5.45</v>
      </c>
      <c r="AE41" s="641"/>
      <c r="AF41" s="641" t="str">
        <f t="shared" si="2"/>
        <v>GC</v>
      </c>
      <c r="AG41" s="641"/>
      <c r="AH41" s="641" t="str">
        <f t="shared" si="3"/>
        <v>G</v>
      </c>
      <c r="AI41" s="641"/>
      <c r="AJ41" s="730"/>
    </row>
    <row r="42" spans="1:36" ht="13.15" customHeight="1" x14ac:dyDescent="0.25">
      <c r="A42" s="728"/>
      <c r="B42" s="729"/>
      <c r="C42" s="729"/>
      <c r="D42" s="729"/>
      <c r="E42" s="729"/>
      <c r="F42" s="729"/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  <c r="U42" s="729"/>
      <c r="V42" s="729"/>
      <c r="W42" s="729"/>
      <c r="X42" s="729"/>
      <c r="Y42" s="729"/>
      <c r="Z42" s="729"/>
      <c r="AA42" s="729"/>
      <c r="AB42" s="641">
        <f t="shared" si="0"/>
        <v>77</v>
      </c>
      <c r="AC42" s="641"/>
      <c r="AD42" s="641">
        <f t="shared" si="1"/>
        <v>-5.5699999999999994</v>
      </c>
      <c r="AE42" s="641"/>
      <c r="AF42" s="641" t="str">
        <f t="shared" si="2"/>
        <v>P</v>
      </c>
      <c r="AG42" s="641"/>
      <c r="AH42" s="641" t="str">
        <f t="shared" si="3"/>
        <v>G</v>
      </c>
      <c r="AI42" s="641"/>
      <c r="AJ42" s="730"/>
    </row>
    <row r="43" spans="1:36" ht="13.15" customHeight="1" x14ac:dyDescent="0.25">
      <c r="A43" s="728"/>
      <c r="B43" s="729"/>
      <c r="C43" s="729"/>
      <c r="D43" s="729"/>
      <c r="E43" s="729"/>
      <c r="F43" s="729"/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  <c r="U43" s="729"/>
      <c r="V43" s="729"/>
      <c r="W43" s="729"/>
      <c r="X43" s="729"/>
      <c r="Y43" s="729"/>
      <c r="Z43" s="729"/>
      <c r="AA43" s="729"/>
      <c r="AB43" s="641">
        <f t="shared" si="0"/>
        <v>83</v>
      </c>
      <c r="AC43" s="641"/>
      <c r="AD43" s="641">
        <f t="shared" si="1"/>
        <v>-4.46</v>
      </c>
      <c r="AE43" s="641"/>
      <c r="AF43" s="641" t="str">
        <f t="shared" si="2"/>
        <v>HC</v>
      </c>
      <c r="AG43" s="641"/>
      <c r="AH43" s="641" t="str">
        <f t="shared" si="3"/>
        <v>C/S</v>
      </c>
      <c r="AI43" s="641"/>
      <c r="AJ43" s="730"/>
    </row>
    <row r="44" spans="1:36" ht="13.15" customHeight="1" x14ac:dyDescent="0.25">
      <c r="A44" s="728"/>
      <c r="B44" s="729"/>
      <c r="C44" s="729"/>
      <c r="D44" s="729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641">
        <f t="shared" si="0"/>
        <v>115</v>
      </c>
      <c r="AC44" s="641"/>
      <c r="AD44" s="641">
        <f t="shared" si="1"/>
        <v>-5.2299999999999995</v>
      </c>
      <c r="AE44" s="641"/>
      <c r="AF44" s="641" t="str">
        <f t="shared" si="2"/>
        <v>HC</v>
      </c>
      <c r="AG44" s="641"/>
      <c r="AH44" s="641" t="str">
        <f t="shared" si="3"/>
        <v>C/S</v>
      </c>
      <c r="AI44" s="641"/>
      <c r="AJ44" s="730"/>
    </row>
    <row r="45" spans="1:36" ht="13.15" customHeight="1" x14ac:dyDescent="0.25">
      <c r="A45" s="728"/>
      <c r="B45" s="729"/>
      <c r="C45" s="729"/>
      <c r="D45" s="729"/>
      <c r="E45" s="729"/>
      <c r="F45" s="729"/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  <c r="U45" s="729"/>
      <c r="V45" s="729"/>
      <c r="W45" s="729"/>
      <c r="X45" s="729"/>
      <c r="Y45" s="729"/>
      <c r="Z45" s="729"/>
      <c r="AA45" s="729"/>
      <c r="AB45" s="641">
        <f t="shared" si="0"/>
        <v>0</v>
      </c>
      <c r="AC45" s="641"/>
      <c r="AD45" s="641">
        <f t="shared" si="1"/>
        <v>0</v>
      </c>
      <c r="AE45" s="641"/>
      <c r="AF45" s="641" t="str">
        <f t="shared" si="2"/>
        <v/>
      </c>
      <c r="AG45" s="641"/>
      <c r="AH45" s="641" t="str">
        <f t="shared" si="3"/>
        <v/>
      </c>
      <c r="AI45" s="641"/>
      <c r="AJ45" s="730"/>
    </row>
    <row r="46" spans="1:36" s="53" customFormat="1" ht="13.15" customHeight="1" x14ac:dyDescent="0.25">
      <c r="A46" s="728"/>
      <c r="B46" s="729"/>
      <c r="C46" s="729"/>
      <c r="D46" s="729"/>
      <c r="E46" s="729"/>
      <c r="F46" s="729"/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  <c r="R46" s="729"/>
      <c r="S46" s="729"/>
      <c r="T46" s="729"/>
      <c r="U46" s="729"/>
      <c r="V46" s="729"/>
      <c r="W46" s="729"/>
      <c r="X46" s="729"/>
      <c r="Y46" s="729"/>
      <c r="Z46" s="729"/>
      <c r="AA46" s="729"/>
      <c r="AB46" s="641">
        <f t="shared" si="0"/>
        <v>0</v>
      </c>
      <c r="AC46" s="641"/>
      <c r="AD46" s="641">
        <f t="shared" si="1"/>
        <v>0</v>
      </c>
      <c r="AE46" s="641"/>
      <c r="AF46" s="641" t="str">
        <f t="shared" si="2"/>
        <v/>
      </c>
      <c r="AG46" s="641"/>
      <c r="AH46" s="641" t="str">
        <f t="shared" si="3"/>
        <v/>
      </c>
      <c r="AI46" s="641"/>
      <c r="AJ46" s="730"/>
    </row>
    <row r="47" spans="1:36" ht="13.15" customHeight="1" x14ac:dyDescent="0.25">
      <c r="A47" s="728"/>
      <c r="B47" s="729"/>
      <c r="C47" s="729"/>
      <c r="D47" s="729"/>
      <c r="E47" s="729"/>
      <c r="F47" s="729"/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  <c r="R47" s="729"/>
      <c r="S47" s="729"/>
      <c r="T47" s="729"/>
      <c r="U47" s="729"/>
      <c r="V47" s="729"/>
      <c r="W47" s="729"/>
      <c r="X47" s="729"/>
      <c r="Y47" s="729"/>
      <c r="Z47" s="729"/>
      <c r="AA47" s="729"/>
      <c r="AB47" s="641">
        <f t="shared" si="0"/>
        <v>0</v>
      </c>
      <c r="AC47" s="641"/>
      <c r="AD47" s="641">
        <f t="shared" si="1"/>
        <v>0</v>
      </c>
      <c r="AE47" s="641"/>
      <c r="AF47" s="641" t="str">
        <f t="shared" si="2"/>
        <v/>
      </c>
      <c r="AG47" s="641"/>
      <c r="AH47" s="641" t="str">
        <f t="shared" si="3"/>
        <v/>
      </c>
      <c r="AI47" s="641"/>
      <c r="AJ47" s="730"/>
    </row>
    <row r="48" spans="1:36" ht="13.15" customHeight="1" x14ac:dyDescent="0.25">
      <c r="A48" s="728"/>
      <c r="B48" s="729"/>
      <c r="C48" s="729"/>
      <c r="D48" s="729"/>
      <c r="E48" s="729"/>
      <c r="F48" s="729"/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  <c r="R48" s="729"/>
      <c r="S48" s="729"/>
      <c r="T48" s="729"/>
      <c r="U48" s="729"/>
      <c r="V48" s="729"/>
      <c r="W48" s="729"/>
      <c r="X48" s="729"/>
      <c r="Y48" s="729"/>
      <c r="Z48" s="729"/>
      <c r="AA48" s="729"/>
      <c r="AB48" s="641">
        <f t="shared" si="0"/>
        <v>0</v>
      </c>
      <c r="AC48" s="641"/>
      <c r="AD48" s="641">
        <f t="shared" si="1"/>
        <v>0</v>
      </c>
      <c r="AE48" s="641"/>
      <c r="AF48" s="641" t="str">
        <f t="shared" si="2"/>
        <v/>
      </c>
      <c r="AG48" s="641"/>
      <c r="AH48" s="641" t="str">
        <f t="shared" si="3"/>
        <v/>
      </c>
      <c r="AI48" s="641"/>
      <c r="AJ48" s="730"/>
    </row>
    <row r="49" spans="1:36" s="53" customFormat="1" ht="13.15" customHeight="1" x14ac:dyDescent="0.25">
      <c r="A49" s="728"/>
      <c r="B49" s="729"/>
      <c r="C49" s="729"/>
      <c r="D49" s="729"/>
      <c r="E49" s="729"/>
      <c r="F49" s="729"/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  <c r="R49" s="729"/>
      <c r="S49" s="729"/>
      <c r="T49" s="729"/>
      <c r="U49" s="729"/>
      <c r="V49" s="729"/>
      <c r="W49" s="729"/>
      <c r="X49" s="729"/>
      <c r="Y49" s="729"/>
      <c r="Z49" s="729"/>
      <c r="AA49" s="729"/>
      <c r="AB49" s="641">
        <f t="shared" si="0"/>
        <v>0</v>
      </c>
      <c r="AC49" s="641"/>
      <c r="AD49" s="641">
        <f t="shared" si="1"/>
        <v>0</v>
      </c>
      <c r="AE49" s="641"/>
      <c r="AF49" s="641" t="str">
        <f t="shared" si="2"/>
        <v/>
      </c>
      <c r="AG49" s="641"/>
      <c r="AH49" s="641" t="str">
        <f t="shared" si="3"/>
        <v/>
      </c>
      <c r="AI49" s="641"/>
      <c r="AJ49" s="730"/>
    </row>
    <row r="50" spans="1:36" s="53" customFormat="1" ht="13.15" customHeight="1" x14ac:dyDescent="0.25">
      <c r="A50" s="728"/>
      <c r="B50" s="729"/>
      <c r="C50" s="729"/>
      <c r="D50" s="729"/>
      <c r="E50" s="729"/>
      <c r="F50" s="729"/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  <c r="R50" s="729"/>
      <c r="S50" s="729"/>
      <c r="T50" s="729"/>
      <c r="U50" s="729"/>
      <c r="V50" s="729"/>
      <c r="W50" s="729"/>
      <c r="X50" s="729"/>
      <c r="Y50" s="729"/>
      <c r="Z50" s="729"/>
      <c r="AA50" s="729"/>
      <c r="AB50" s="641">
        <f t="shared" si="0"/>
        <v>0</v>
      </c>
      <c r="AC50" s="641"/>
      <c r="AD50" s="641">
        <f t="shared" si="1"/>
        <v>0</v>
      </c>
      <c r="AE50" s="641"/>
      <c r="AF50" s="641" t="str">
        <f t="shared" si="2"/>
        <v/>
      </c>
      <c r="AG50" s="641"/>
      <c r="AH50" s="641" t="str">
        <f t="shared" si="3"/>
        <v/>
      </c>
      <c r="AI50" s="641"/>
      <c r="AJ50" s="730"/>
    </row>
    <row r="51" spans="1:36" s="53" customFormat="1" ht="13.15" customHeight="1" thickBot="1" x14ac:dyDescent="0.3">
      <c r="A51" s="203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  <c r="Z51" s="204"/>
      <c r="AA51" s="204"/>
      <c r="AB51" s="642">
        <f t="shared" si="0"/>
        <v>0</v>
      </c>
      <c r="AC51" s="642"/>
      <c r="AD51" s="642">
        <f t="shared" si="1"/>
        <v>0</v>
      </c>
      <c r="AE51" s="642"/>
      <c r="AF51" s="642" t="str">
        <f t="shared" si="2"/>
        <v/>
      </c>
      <c r="AG51" s="642"/>
      <c r="AH51" s="642" t="str">
        <f t="shared" si="3"/>
        <v/>
      </c>
      <c r="AI51" s="642"/>
      <c r="AJ51" s="735"/>
    </row>
    <row r="52" spans="1:36" s="53" customFormat="1" ht="14.25" customHeight="1" x14ac:dyDescent="0.25">
      <c r="A52" s="639" t="s">
        <v>250</v>
      </c>
      <c r="B52" s="639"/>
      <c r="C52" s="639"/>
      <c r="D52" s="639"/>
      <c r="E52" s="639"/>
      <c r="F52" s="639"/>
      <c r="G52" s="639"/>
      <c r="H52" s="639"/>
      <c r="I52" s="639"/>
      <c r="J52" s="639"/>
      <c r="K52" s="639"/>
      <c r="L52" s="639"/>
      <c r="M52" s="639"/>
      <c r="N52" s="639"/>
      <c r="O52" s="639"/>
      <c r="P52" s="639"/>
      <c r="Q52" s="639"/>
      <c r="R52" s="639"/>
      <c r="S52" s="639"/>
      <c r="T52" s="639"/>
      <c r="U52" s="639"/>
      <c r="V52" s="639"/>
      <c r="W52" s="639"/>
      <c r="X52" s="639"/>
      <c r="Y52" s="639"/>
      <c r="Z52" s="639"/>
      <c r="AA52" s="639"/>
      <c r="AB52" s="639"/>
      <c r="AC52" s="639"/>
      <c r="AD52" s="639"/>
      <c r="AE52" s="639"/>
      <c r="AF52" s="639"/>
      <c r="AG52" s="639"/>
      <c r="AH52" s="639"/>
      <c r="AI52" s="639"/>
      <c r="AJ52" s="639"/>
    </row>
    <row r="53" spans="1:36" s="53" customFormat="1" ht="14.25" customHeight="1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  <c r="AH53" s="152"/>
      <c r="AI53" s="152"/>
      <c r="AJ53" s="152"/>
    </row>
    <row r="54" spans="1:36" s="53" customFormat="1" ht="14.25" customHeight="1" x14ac:dyDescent="0.25">
      <c r="A54" s="35" t="s">
        <v>227</v>
      </c>
      <c r="B54" s="35"/>
      <c r="C54" s="35"/>
      <c r="D54" s="35"/>
      <c r="E54" s="35"/>
      <c r="F54" s="35"/>
      <c r="G54" s="35"/>
      <c r="H54" s="35"/>
      <c r="I54" s="35"/>
      <c r="J54" s="261">
        <v>0</v>
      </c>
      <c r="K54" s="262"/>
      <c r="L54" s="262"/>
      <c r="M54" s="38" t="s">
        <v>114</v>
      </c>
      <c r="Q54" s="121"/>
      <c r="R54" s="205" t="s">
        <v>245</v>
      </c>
      <c r="S54" s="205"/>
      <c r="T54" s="35"/>
      <c r="U54" s="152"/>
      <c r="V54" s="261">
        <v>44</v>
      </c>
      <c r="W54" s="262"/>
      <c r="X54" s="670"/>
      <c r="Y54" s="152"/>
      <c r="Z54" s="205" t="s">
        <v>246</v>
      </c>
      <c r="AA54" s="205"/>
      <c r="AB54" s="140"/>
      <c r="AC54" s="152"/>
      <c r="AD54" s="201"/>
      <c r="AE54" s="201"/>
      <c r="AF54" s="261">
        <v>29</v>
      </c>
      <c r="AG54" s="262"/>
      <c r="AH54" s="670"/>
      <c r="AI54" s="201"/>
      <c r="AJ54" s="152"/>
    </row>
    <row r="55" spans="1:36" s="53" customFormat="1" ht="14.25" customHeight="1" x14ac:dyDescent="0.25">
      <c r="A55" s="35" t="s">
        <v>297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619">
        <f>J54+M103-M104</f>
        <v>0</v>
      </c>
      <c r="N55" s="620"/>
      <c r="O55" s="620"/>
      <c r="P55" s="38" t="str">
        <f>P104</f>
        <v>R</v>
      </c>
      <c r="Q55" s="121"/>
      <c r="R55" s="121"/>
      <c r="S55" s="121"/>
      <c r="U55" s="152"/>
      <c r="V55" s="165"/>
      <c r="W55" s="165"/>
      <c r="X55" s="165"/>
      <c r="Y55" s="152"/>
      <c r="Z55" s="205" t="s">
        <v>247</v>
      </c>
      <c r="AA55" s="205"/>
      <c r="AB55" s="140"/>
      <c r="AC55" s="152"/>
      <c r="AD55" s="201"/>
      <c r="AE55" s="201"/>
      <c r="AF55" s="261">
        <v>73</v>
      </c>
      <c r="AG55" s="262"/>
      <c r="AH55" s="670"/>
      <c r="AI55" s="201"/>
      <c r="AJ55" s="152"/>
    </row>
    <row r="56" spans="1:36" s="53" customFormat="1" ht="14.25" customHeight="1" x14ac:dyDescent="0.25">
      <c r="A56" s="35" t="s">
        <v>298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619">
        <f>J54+M103-M105</f>
        <v>5.19</v>
      </c>
      <c r="N56" s="620"/>
      <c r="O56" s="620"/>
      <c r="P56" s="38" t="str">
        <f>P105</f>
        <v>U</v>
      </c>
      <c r="Q56" s="121"/>
      <c r="R56" s="121"/>
      <c r="S56" s="121"/>
      <c r="U56" s="152"/>
      <c r="V56" s="212"/>
      <c r="W56" s="212"/>
      <c r="X56" s="212"/>
      <c r="Y56" s="152"/>
      <c r="Z56" s="205"/>
      <c r="AA56" s="205"/>
      <c r="AB56" s="140"/>
      <c r="AC56" s="152"/>
      <c r="AD56" s="212"/>
      <c r="AE56" s="212"/>
      <c r="AF56" s="212"/>
      <c r="AG56" s="212"/>
      <c r="AH56" s="212"/>
      <c r="AI56" s="212"/>
      <c r="AJ56" s="152"/>
    </row>
    <row r="57" spans="1:36" s="53" customFormat="1" ht="14.25" customHeight="1" x14ac:dyDescent="0.25">
      <c r="A57" s="35" t="s">
        <v>299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619">
        <f>J54+M103-M106</f>
        <v>0.20000000000000018</v>
      </c>
      <c r="N57" s="620"/>
      <c r="O57" s="620"/>
      <c r="P57" s="38" t="str">
        <f>P106</f>
        <v>D</v>
      </c>
      <c r="Q57" s="121"/>
      <c r="R57" s="121"/>
      <c r="S57" s="121"/>
      <c r="U57" s="152"/>
      <c r="V57" s="212"/>
      <c r="W57" s="212"/>
      <c r="X57" s="212"/>
      <c r="Y57" s="152"/>
      <c r="Z57" s="205"/>
      <c r="AA57" s="205"/>
      <c r="AB57" s="140"/>
      <c r="AC57" s="152"/>
      <c r="AD57" s="212"/>
      <c r="AE57" s="212"/>
      <c r="AF57" s="212"/>
      <c r="AG57" s="212"/>
      <c r="AH57" s="212"/>
      <c r="AI57" s="212"/>
      <c r="AJ57" s="152"/>
    </row>
    <row r="58" spans="1:36" s="53" customFormat="1" ht="14.25" customHeight="1" thickBot="1" x14ac:dyDescent="0.3">
      <c r="A58" s="35" t="s">
        <v>300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619">
        <f>J54+M103-M107</f>
        <v>5.19</v>
      </c>
      <c r="N58" s="620"/>
      <c r="O58" s="620"/>
      <c r="P58" s="38" t="str">
        <f>P107</f>
        <v>X</v>
      </c>
      <c r="Q58" s="121"/>
      <c r="R58" s="121"/>
      <c r="S58" s="121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  <c r="AH58" s="152"/>
      <c r="AI58" s="152"/>
      <c r="AJ58" s="152"/>
    </row>
    <row r="59" spans="1:36" s="53" customFormat="1" ht="14.25" customHeight="1" thickBot="1" x14ac:dyDescent="0.3">
      <c r="A59" s="35"/>
      <c r="B59" s="35"/>
      <c r="C59" s="35"/>
      <c r="D59" s="35"/>
      <c r="E59" s="35"/>
      <c r="F59" s="35"/>
      <c r="G59" s="35"/>
      <c r="H59" s="35"/>
      <c r="I59" s="35"/>
      <c r="J59" s="269" t="s">
        <v>149</v>
      </c>
      <c r="K59" s="269"/>
      <c r="L59" s="269"/>
      <c r="M59" s="269"/>
      <c r="N59" s="42"/>
      <c r="O59" s="270" t="s">
        <v>150</v>
      </c>
      <c r="P59" s="270"/>
      <c r="Q59" s="270"/>
      <c r="R59" s="270"/>
      <c r="S59" s="40"/>
      <c r="U59" s="223" t="s">
        <v>165</v>
      </c>
      <c r="V59" s="224"/>
      <c r="W59" s="224"/>
      <c r="X59" s="224"/>
      <c r="Y59" s="224"/>
      <c r="Z59" s="224"/>
      <c r="AA59" s="224"/>
      <c r="AB59" s="224"/>
      <c r="AC59" s="224"/>
      <c r="AD59" s="224"/>
      <c r="AE59" s="224"/>
      <c r="AF59" s="224"/>
      <c r="AG59" s="224"/>
      <c r="AH59" s="224"/>
      <c r="AI59" s="224"/>
      <c r="AJ59" s="225"/>
    </row>
    <row r="60" spans="1:36" s="53" customFormat="1" ht="14.25" customHeight="1" x14ac:dyDescent="0.25">
      <c r="A60" s="35" t="s">
        <v>151</v>
      </c>
      <c r="B60" s="35"/>
      <c r="C60" s="35"/>
      <c r="D60" s="35"/>
      <c r="E60" s="35"/>
      <c r="F60" s="35"/>
      <c r="G60" s="35"/>
      <c r="H60" s="35"/>
      <c r="I60" s="35"/>
      <c r="J60" s="247">
        <f>IF(N60="R", J54+M103-J109, IF(N60="U", J54+M103-J123+J124-J109, IF(N60="D", J54+M103-O123+O124-J109)))</f>
        <v>-4.28</v>
      </c>
      <c r="K60" s="283"/>
      <c r="L60" s="283"/>
      <c r="M60" s="284"/>
      <c r="N60" s="51" t="str">
        <f>N109</f>
        <v>D</v>
      </c>
      <c r="O60" s="326">
        <f>IF(S60="R",J54+M103-O109,IF(S60="U",J54+M103-J123+J124-O109,IF(S60="D",J54+M103-O123+O124-O109)))</f>
        <v>-4.2599999999999989</v>
      </c>
      <c r="P60" s="327"/>
      <c r="Q60" s="327"/>
      <c r="R60" s="328"/>
      <c r="S60" s="52" t="str">
        <f>S109</f>
        <v>D</v>
      </c>
      <c r="U60" s="598" t="s">
        <v>142</v>
      </c>
      <c r="V60" s="599"/>
      <c r="W60" s="600"/>
      <c r="X60" s="598" t="s">
        <v>143</v>
      </c>
      <c r="Y60" s="599"/>
      <c r="Z60" s="600"/>
      <c r="AA60" s="604" t="s">
        <v>144</v>
      </c>
      <c r="AB60" s="605"/>
      <c r="AC60" s="606"/>
      <c r="AD60" s="604" t="s">
        <v>146</v>
      </c>
      <c r="AE60" s="599"/>
      <c r="AF60" s="600"/>
      <c r="AG60" s="604" t="s">
        <v>159</v>
      </c>
      <c r="AH60" s="605"/>
      <c r="AI60" s="605"/>
      <c r="AJ60" s="606"/>
    </row>
    <row r="61" spans="1:36" s="53" customFormat="1" ht="14.25" customHeight="1" thickBot="1" x14ac:dyDescent="0.3">
      <c r="A61" s="143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42"/>
      <c r="U61" s="601"/>
      <c r="V61" s="602"/>
      <c r="W61" s="603"/>
      <c r="X61" s="601"/>
      <c r="Y61" s="602"/>
      <c r="Z61" s="603"/>
      <c r="AA61" s="607"/>
      <c r="AB61" s="608"/>
      <c r="AC61" s="609"/>
      <c r="AD61" s="601"/>
      <c r="AE61" s="602"/>
      <c r="AF61" s="603"/>
      <c r="AG61" s="607"/>
      <c r="AH61" s="608"/>
      <c r="AI61" s="608"/>
      <c r="AJ61" s="609"/>
    </row>
    <row r="62" spans="1:36" s="53" customFormat="1" ht="14.25" customHeight="1" x14ac:dyDescent="0.25">
      <c r="A62" s="143"/>
      <c r="B62" s="121"/>
      <c r="C62" s="282" t="s">
        <v>204</v>
      </c>
      <c r="D62" s="282"/>
      <c r="E62" s="282"/>
      <c r="F62" s="282"/>
      <c r="G62" s="282"/>
      <c r="H62" s="282"/>
      <c r="I62" s="282"/>
      <c r="J62" s="282"/>
      <c r="K62" s="282"/>
      <c r="L62" s="282"/>
      <c r="M62" s="282"/>
      <c r="N62" s="282"/>
      <c r="O62" s="282"/>
      <c r="P62" s="282"/>
      <c r="Q62" s="282"/>
      <c r="R62" s="282"/>
      <c r="U62" s="159">
        <f>U108</f>
        <v>0</v>
      </c>
      <c r="V62" s="160"/>
      <c r="W62" s="161"/>
      <c r="X62" s="159">
        <f>IF(AG62 = "R", J54+M103-X108, IF(AG62 = "U", J54+M103-J123+J124-X108, IF(AG62 = "D", J54+M103-O123+O124-X108, X108)))</f>
        <v>-5.0999999999999988</v>
      </c>
      <c r="Y62" s="160"/>
      <c r="Z62" s="161"/>
      <c r="AA62" s="220" t="str">
        <f t="shared" ref="AA62:AA78" si="4">IF(AA108=0,"", AA108)</f>
        <v>HC</v>
      </c>
      <c r="AB62" s="221"/>
      <c r="AC62" s="222"/>
      <c r="AD62" s="220" t="str">
        <f t="shared" ref="AD62:AD78" si="5">IF(AD108=0,"", AD108)</f>
        <v>G</v>
      </c>
      <c r="AE62" s="221"/>
      <c r="AF62" s="222"/>
      <c r="AG62" s="220" t="str">
        <f t="shared" ref="AG62:AG78" si="6">IF(AG108=0,"", AG108)</f>
        <v>D</v>
      </c>
      <c r="AH62" s="221"/>
      <c r="AI62" s="221"/>
      <c r="AJ62" s="222"/>
    </row>
    <row r="63" spans="1:36" s="53" customFormat="1" ht="14.25" customHeight="1" x14ac:dyDescent="0.25">
      <c r="A63" s="143"/>
      <c r="B63" s="121"/>
      <c r="C63" s="263" t="s">
        <v>147</v>
      </c>
      <c r="D63" s="263"/>
      <c r="E63" s="263"/>
      <c r="F63" s="263"/>
      <c r="G63" s="263"/>
      <c r="H63" s="263"/>
      <c r="I63" s="263"/>
      <c r="J63" s="269" t="s">
        <v>149</v>
      </c>
      <c r="K63" s="269"/>
      <c r="L63" s="269"/>
      <c r="M63" s="269"/>
      <c r="N63" s="42"/>
      <c r="O63" s="270" t="s">
        <v>150</v>
      </c>
      <c r="P63" s="270"/>
      <c r="Q63" s="270"/>
      <c r="R63" s="270"/>
      <c r="S63" s="40"/>
      <c r="U63" s="159">
        <f t="shared" ref="U63:U78" si="7">U109</f>
        <v>15</v>
      </c>
      <c r="V63" s="160"/>
      <c r="W63" s="161"/>
      <c r="X63" s="159">
        <f>IF(AG63 = "R", J54+M103-X109, IF(AG63 = "U", J54+M103-J123+J124-X109, IF(AG63 = "D", J54+M103-O123+O124-X109, X109)))</f>
        <v>-4.28</v>
      </c>
      <c r="Y63" s="160"/>
      <c r="Z63" s="161"/>
      <c r="AA63" s="220" t="str">
        <f t="shared" si="4"/>
        <v>HC</v>
      </c>
      <c r="AB63" s="221"/>
      <c r="AC63" s="222"/>
      <c r="AD63" s="220" t="str">
        <f t="shared" si="5"/>
        <v>G</v>
      </c>
      <c r="AE63" s="221"/>
      <c r="AF63" s="222"/>
      <c r="AG63" s="220" t="str">
        <f t="shared" si="6"/>
        <v>D</v>
      </c>
      <c r="AH63" s="221"/>
      <c r="AI63" s="221"/>
      <c r="AJ63" s="222"/>
    </row>
    <row r="64" spans="1:36" s="53" customFormat="1" ht="14.25" customHeight="1" x14ac:dyDescent="0.25">
      <c r="A64" s="143"/>
      <c r="B64" s="121"/>
      <c r="C64" s="285" t="s">
        <v>57</v>
      </c>
      <c r="D64" s="285"/>
      <c r="E64" s="285"/>
      <c r="F64" s="285"/>
      <c r="G64" s="285"/>
      <c r="H64" s="285"/>
      <c r="I64" s="285"/>
      <c r="J64" s="246">
        <f>IF(N64="R",J54+M103-J113,IF(N64="U",J54+M103-J123+J124-J113,IF(N64="D",J54+M103-O123+O124-J113)))</f>
        <v>-2.9099999999999993</v>
      </c>
      <c r="K64" s="246"/>
      <c r="L64" s="246"/>
      <c r="M64" s="247"/>
      <c r="N64" s="51" t="str">
        <f t="shared" ref="N64:N71" si="8">N113</f>
        <v>R</v>
      </c>
      <c r="O64" s="219">
        <f>IF(S64="R",J54+M103-O113,IF(S64="U",J54+M103-J123+J124-O113,IF(S64="D",J54+M103-O123+O124-O113)))</f>
        <v>-3.5999999999999988</v>
      </c>
      <c r="P64" s="219"/>
      <c r="Q64" s="219"/>
      <c r="R64" s="219"/>
      <c r="S64" s="52" t="str">
        <f t="shared" ref="S64:S71" si="9">S113</f>
        <v>D</v>
      </c>
      <c r="U64" s="159">
        <f t="shared" si="7"/>
        <v>27</v>
      </c>
      <c r="V64" s="160"/>
      <c r="W64" s="161"/>
      <c r="X64" s="159">
        <f>IF(AG64 = "R", J54+M103-X110, IF(AG64 = "U", J54+M103-J123+J124-X110, IF(AG64 = "D", J54+M103-O123+O124-X110, X110)))</f>
        <v>-4.88</v>
      </c>
      <c r="Y64" s="160"/>
      <c r="Z64" s="161"/>
      <c r="AA64" s="220" t="str">
        <f t="shared" si="4"/>
        <v>P</v>
      </c>
      <c r="AB64" s="221"/>
      <c r="AC64" s="222"/>
      <c r="AD64" s="220" t="str">
        <f t="shared" si="5"/>
        <v>G</v>
      </c>
      <c r="AE64" s="221"/>
      <c r="AF64" s="222"/>
      <c r="AG64" s="220" t="str">
        <f t="shared" si="6"/>
        <v>D</v>
      </c>
      <c r="AH64" s="221"/>
      <c r="AI64" s="221"/>
      <c r="AJ64" s="222"/>
    </row>
    <row r="65" spans="1:38" s="53" customFormat="1" ht="14.25" customHeight="1" x14ac:dyDescent="0.25">
      <c r="A65" s="143"/>
      <c r="B65" s="121"/>
      <c r="C65" s="285" t="s">
        <v>58</v>
      </c>
      <c r="D65" s="285"/>
      <c r="E65" s="285"/>
      <c r="F65" s="285"/>
      <c r="G65" s="285"/>
      <c r="H65" s="285"/>
      <c r="I65" s="285"/>
      <c r="J65" s="246">
        <f>IF(N65="R",J54+M103-J114,IF(N65="U",J54+M103-J123+J124-J114,IF(N65="D",J54+M103-O123+O124-J114)))</f>
        <v>-0.9399999999999995</v>
      </c>
      <c r="K65" s="246"/>
      <c r="L65" s="246"/>
      <c r="M65" s="247"/>
      <c r="N65" s="51" t="str">
        <f t="shared" si="8"/>
        <v>R</v>
      </c>
      <c r="O65" s="219">
        <f>IF(S65="R",J54+M103-O114,IF(S65="U",J54+M103-J123+J124-O114,IF(S65="D",J54+M103-O123+O124-O114)))</f>
        <v>-1.1499999999999995</v>
      </c>
      <c r="P65" s="219"/>
      <c r="Q65" s="219"/>
      <c r="R65" s="219"/>
      <c r="S65" s="52" t="str">
        <f t="shared" si="9"/>
        <v>D</v>
      </c>
      <c r="U65" s="159">
        <f t="shared" si="7"/>
        <v>28</v>
      </c>
      <c r="V65" s="160"/>
      <c r="W65" s="161"/>
      <c r="X65" s="159">
        <f>IF(AG65 = "R", J54+M103-X111, IF(AG65 = "U", J54+M103-J123+J124-X111, IF(AG65 = "D", J54+M103-O123+O124-X111, X111)))</f>
        <v>-4.88</v>
      </c>
      <c r="Y65" s="160"/>
      <c r="Z65" s="161"/>
      <c r="AA65" s="220" t="str">
        <f t="shared" si="4"/>
        <v>GC</v>
      </c>
      <c r="AB65" s="221"/>
      <c r="AC65" s="222"/>
      <c r="AD65" s="220" t="str">
        <f t="shared" si="5"/>
        <v>G</v>
      </c>
      <c r="AE65" s="221"/>
      <c r="AF65" s="222"/>
      <c r="AG65" s="220" t="str">
        <f t="shared" si="6"/>
        <v>D</v>
      </c>
      <c r="AH65" s="221"/>
      <c r="AI65" s="221"/>
      <c r="AJ65" s="222"/>
    </row>
    <row r="66" spans="1:38" s="53" customFormat="1" ht="14.25" customHeight="1" x14ac:dyDescent="0.25">
      <c r="A66" s="143"/>
      <c r="B66" s="121"/>
      <c r="C66" s="610" t="s">
        <v>59</v>
      </c>
      <c r="D66" s="610"/>
      <c r="E66" s="610"/>
      <c r="F66" s="610"/>
      <c r="G66" s="610"/>
      <c r="H66" s="610"/>
      <c r="I66" s="610"/>
      <c r="J66" s="246">
        <f>IF(N66="R",J54+M103-J115,IF(N66="U",J54+M103-J123+J124-J115,IF(N66="D",J54+M103-O123+O124-J115)))</f>
        <v>-3.8099999999999996</v>
      </c>
      <c r="K66" s="246"/>
      <c r="L66" s="246"/>
      <c r="M66" s="247"/>
      <c r="N66" s="51" t="str">
        <f t="shared" si="8"/>
        <v>R</v>
      </c>
      <c r="O66" s="219">
        <f>IF(S66="R",J54+M103-O115,IF(S66="U",J54+M103-J123+J124-O115,IF(S66="D",J54+M103-O123+O124-O115)))</f>
        <v>-3.3999999999999995</v>
      </c>
      <c r="P66" s="219"/>
      <c r="Q66" s="219"/>
      <c r="R66" s="219"/>
      <c r="S66" s="52" t="str">
        <f t="shared" si="9"/>
        <v>D</v>
      </c>
      <c r="U66" s="159">
        <f t="shared" si="7"/>
        <v>29</v>
      </c>
      <c r="V66" s="160"/>
      <c r="W66" s="161"/>
      <c r="X66" s="159">
        <f>IF(AG66 = "R", J54+M103-X112, IF(AG66 = "U", J54+M103-J123+J124-X112, IF(AG66 = "D", J54+M103-O123+O124-X112, X112)))</f>
        <v>-4.9099999999999993</v>
      </c>
      <c r="Y66" s="160"/>
      <c r="Z66" s="161"/>
      <c r="AA66" s="220" t="str">
        <f t="shared" si="4"/>
        <v>I</v>
      </c>
      <c r="AB66" s="221"/>
      <c r="AC66" s="222"/>
      <c r="AD66" s="220" t="str">
        <f t="shared" si="5"/>
        <v>G</v>
      </c>
      <c r="AE66" s="221"/>
      <c r="AF66" s="222"/>
      <c r="AG66" s="220" t="str">
        <f t="shared" si="6"/>
        <v>D</v>
      </c>
      <c r="AH66" s="221"/>
      <c r="AI66" s="221"/>
      <c r="AJ66" s="222"/>
    </row>
    <row r="67" spans="1:38" s="53" customFormat="1" ht="14.25" customHeight="1" x14ac:dyDescent="0.25">
      <c r="A67" s="143"/>
      <c r="B67" s="121"/>
      <c r="C67" s="610" t="s">
        <v>148</v>
      </c>
      <c r="D67" s="610"/>
      <c r="E67" s="610"/>
      <c r="F67" s="610"/>
      <c r="G67" s="610"/>
      <c r="H67" s="610"/>
      <c r="I67" s="610"/>
      <c r="J67" s="246">
        <f>IF(N67="R",J54+M103-J116,IF(N67="U",J54+M103-J123+J124-J116,IF(N67="D",J54+M103-O123+O124-J116)))</f>
        <v>-0.69999999999999929</v>
      </c>
      <c r="K67" s="246"/>
      <c r="L67" s="246"/>
      <c r="M67" s="247"/>
      <c r="N67" s="51" t="str">
        <f t="shared" si="8"/>
        <v>R</v>
      </c>
      <c r="O67" s="219">
        <f>IF(S67="R",J54+M103-O116,IF(S67="U",J54+M103-J123+J124-O116,IF(S67="D",J54+M103-O123+O124-O116)))</f>
        <v>-2.9999999999999361E-2</v>
      </c>
      <c r="P67" s="219"/>
      <c r="Q67" s="219"/>
      <c r="R67" s="219"/>
      <c r="S67" s="52" t="str">
        <f t="shared" si="9"/>
        <v>D</v>
      </c>
      <c r="U67" s="159">
        <f t="shared" si="7"/>
        <v>73</v>
      </c>
      <c r="V67" s="160"/>
      <c r="W67" s="161"/>
      <c r="X67" s="159">
        <f>IF(AG67 = "R", J54+M103-X113, IF(AG67 = "U", J54+M103-J123+J124-X113, IF(AG67 = "D", J54+M103-O123+O124-X113, X113)))</f>
        <v>-5.46</v>
      </c>
      <c r="Y67" s="160"/>
      <c r="Z67" s="161"/>
      <c r="AA67" s="220" t="str">
        <f t="shared" si="4"/>
        <v>I</v>
      </c>
      <c r="AB67" s="221"/>
      <c r="AC67" s="222"/>
      <c r="AD67" s="220" t="str">
        <f t="shared" si="5"/>
        <v>G</v>
      </c>
      <c r="AE67" s="221"/>
      <c r="AF67" s="222"/>
      <c r="AG67" s="220" t="str">
        <f t="shared" si="6"/>
        <v>R</v>
      </c>
      <c r="AH67" s="221"/>
      <c r="AI67" s="221"/>
      <c r="AJ67" s="222"/>
    </row>
    <row r="68" spans="1:38" s="53" customFormat="1" ht="14.25" customHeight="1" x14ac:dyDescent="0.25">
      <c r="A68" s="143"/>
      <c r="B68" s="121"/>
      <c r="C68" s="259" t="s">
        <v>233</v>
      </c>
      <c r="D68" s="259"/>
      <c r="E68" s="259"/>
      <c r="F68" s="259"/>
      <c r="G68" s="259"/>
      <c r="H68" s="259"/>
      <c r="I68" s="259"/>
      <c r="J68" s="246">
        <f>IF(N68="R",J54+M103-J117,IF(N68="U",J54+M103-J123+J124-J117,IF(N68="D",J54+M103-O123+O124-J117)))</f>
        <v>-3.4400000000000004</v>
      </c>
      <c r="K68" s="246"/>
      <c r="L68" s="246"/>
      <c r="M68" s="247"/>
      <c r="N68" s="51" t="str">
        <f t="shared" si="8"/>
        <v>R</v>
      </c>
      <c r="O68" s="219">
        <f>IF(S68="R",J54+M103-O117,IF(S68="U",J54+M103-J123+J124-O117,IF(S68="D",J54+M103-O123+O124-O117)))</f>
        <v>-4.2</v>
      </c>
      <c r="P68" s="219"/>
      <c r="Q68" s="219"/>
      <c r="R68" s="219"/>
      <c r="S68" s="52" t="str">
        <f t="shared" si="9"/>
        <v>D</v>
      </c>
      <c r="U68" s="159">
        <f t="shared" si="7"/>
        <v>75</v>
      </c>
      <c r="V68" s="160"/>
      <c r="W68" s="161"/>
      <c r="X68" s="159">
        <f>IF(AG68 = "R", J54+M103-X114, IF(AG68 = "U", J54+M103-J123+J124-X114, IF(AG68 = "D", J54+M103-O123+O124-X114, X114)))</f>
        <v>-5.45</v>
      </c>
      <c r="Y68" s="160"/>
      <c r="Z68" s="161"/>
      <c r="AA68" s="220" t="str">
        <f t="shared" si="4"/>
        <v>GC</v>
      </c>
      <c r="AB68" s="221"/>
      <c r="AC68" s="222"/>
      <c r="AD68" s="220" t="str">
        <f t="shared" si="5"/>
        <v>G</v>
      </c>
      <c r="AE68" s="221"/>
      <c r="AF68" s="222"/>
      <c r="AG68" s="220" t="str">
        <f t="shared" si="6"/>
        <v>R</v>
      </c>
      <c r="AH68" s="221"/>
      <c r="AI68" s="221"/>
      <c r="AJ68" s="222"/>
    </row>
    <row r="69" spans="1:38" s="53" customFormat="1" ht="14.25" customHeight="1" x14ac:dyDescent="0.25">
      <c r="A69" s="143"/>
      <c r="B69" s="121"/>
      <c r="C69" s="259" t="s">
        <v>234</v>
      </c>
      <c r="D69" s="259"/>
      <c r="E69" s="259"/>
      <c r="F69" s="259"/>
      <c r="G69" s="259"/>
      <c r="H69" s="259"/>
      <c r="I69" s="259"/>
      <c r="J69" s="246">
        <f>IF(N69="R",J54+M103-J118,IF(N69="U",J54+M103-J123+J124-J118,IF(N69="D",J54+M103-O123+O124-J118)))</f>
        <v>-3.9799999999999995</v>
      </c>
      <c r="K69" s="246"/>
      <c r="L69" s="246"/>
      <c r="M69" s="247"/>
      <c r="N69" s="51" t="str">
        <f t="shared" si="8"/>
        <v>R</v>
      </c>
      <c r="O69" s="219">
        <f>IF(S69="R",J54+M103-O118,IF(S69="U",J54+M103-J123+J124-O118,IF(S69="D",J54+M103-O123+O124-O118)))</f>
        <v>-4.6100000000000003</v>
      </c>
      <c r="P69" s="219"/>
      <c r="Q69" s="219"/>
      <c r="R69" s="219"/>
      <c r="S69" s="52" t="str">
        <f t="shared" si="9"/>
        <v>D</v>
      </c>
      <c r="U69" s="159">
        <f t="shared" si="7"/>
        <v>77</v>
      </c>
      <c r="V69" s="160"/>
      <c r="W69" s="161"/>
      <c r="X69" s="159">
        <f>IF(AG69 = "R", J54+M103-X115, IF(AG69 = "U", J54+M103-J123+J124-X115, IF(AG69 = "D", J54+M103-O123+O124-X115, X115)))</f>
        <v>-5.5699999999999994</v>
      </c>
      <c r="Y69" s="160"/>
      <c r="Z69" s="161"/>
      <c r="AA69" s="220" t="str">
        <f t="shared" si="4"/>
        <v>P</v>
      </c>
      <c r="AB69" s="221"/>
      <c r="AC69" s="222"/>
      <c r="AD69" s="220" t="str">
        <f t="shared" si="5"/>
        <v>G</v>
      </c>
      <c r="AE69" s="221"/>
      <c r="AF69" s="222"/>
      <c r="AG69" s="220" t="str">
        <f t="shared" si="6"/>
        <v>R</v>
      </c>
      <c r="AH69" s="221"/>
      <c r="AI69" s="221"/>
      <c r="AJ69" s="222"/>
    </row>
    <row r="70" spans="1:38" s="53" customFormat="1" ht="14.25" customHeight="1" x14ac:dyDescent="0.25">
      <c r="A70" s="143"/>
      <c r="B70" s="121"/>
      <c r="C70" s="259" t="s">
        <v>235</v>
      </c>
      <c r="D70" s="259"/>
      <c r="E70" s="259"/>
      <c r="F70" s="259"/>
      <c r="G70" s="259"/>
      <c r="H70" s="259"/>
      <c r="I70" s="259"/>
      <c r="J70" s="246">
        <f>IF(N70="R",J54+M103-J119,IF(N70="U",J54+M103-J123+J124-J119,IF(N70="D",J54+M103-O123+O124-J119)))</f>
        <v>-3.7700000000000005</v>
      </c>
      <c r="K70" s="246"/>
      <c r="L70" s="246"/>
      <c r="M70" s="247"/>
      <c r="N70" s="51" t="str">
        <f t="shared" si="8"/>
        <v>R</v>
      </c>
      <c r="O70" s="219">
        <f>IF(S70="R",J54+M103-O119,IF(S70="U",J54+M103-J123+J124-O119,IF(S70="D",J54+M103-O123+O124-O119)))</f>
        <v>-3.1599999999999993</v>
      </c>
      <c r="P70" s="219"/>
      <c r="Q70" s="219"/>
      <c r="R70" s="219"/>
      <c r="S70" s="52" t="str">
        <f t="shared" si="9"/>
        <v>D</v>
      </c>
      <c r="U70" s="159">
        <f t="shared" si="7"/>
        <v>83</v>
      </c>
      <c r="V70" s="160"/>
      <c r="W70" s="161"/>
      <c r="X70" s="159">
        <f>IF(AG70 = "R", J54+M103-X116, IF(AG70 = "U", J54+M103-J123+J124-X116, IF(AG70 = "D", J54+M103-O123+O124-X116, X116)))</f>
        <v>-4.46</v>
      </c>
      <c r="Y70" s="160"/>
      <c r="Z70" s="161"/>
      <c r="AA70" s="220" t="str">
        <f t="shared" si="4"/>
        <v>HC</v>
      </c>
      <c r="AB70" s="221"/>
      <c r="AC70" s="222"/>
      <c r="AD70" s="220" t="str">
        <f t="shared" si="5"/>
        <v>C/S</v>
      </c>
      <c r="AE70" s="221"/>
      <c r="AF70" s="222"/>
      <c r="AG70" s="220" t="str">
        <f t="shared" si="6"/>
        <v>R</v>
      </c>
      <c r="AH70" s="221"/>
      <c r="AI70" s="221"/>
      <c r="AJ70" s="222"/>
    </row>
    <row r="71" spans="1:38" s="53" customFormat="1" ht="14.25" customHeight="1" x14ac:dyDescent="0.25">
      <c r="A71" s="143"/>
      <c r="B71" s="121"/>
      <c r="C71" s="259" t="s">
        <v>236</v>
      </c>
      <c r="D71" s="259"/>
      <c r="E71" s="259"/>
      <c r="F71" s="259"/>
      <c r="G71" s="259"/>
      <c r="H71" s="259"/>
      <c r="I71" s="259"/>
      <c r="J71" s="246">
        <f>IF(N71="R",J54+M103-J120,IF(N71="U",J54+M103-J123+J124-J120,IF(N71="D",J54+M103-O123+O124-J120)))</f>
        <v>-3.63</v>
      </c>
      <c r="K71" s="246"/>
      <c r="L71" s="246"/>
      <c r="M71" s="247"/>
      <c r="N71" s="51" t="str">
        <f t="shared" si="8"/>
        <v>R</v>
      </c>
      <c r="O71" s="219">
        <f>IF(S71="R",J54+M103-O120,IF(S71="U",J54+M103-J123+J124-O120,IF(S71="D",J54+M103-O123+O124-O120)))</f>
        <v>-3.71</v>
      </c>
      <c r="P71" s="219"/>
      <c r="Q71" s="219"/>
      <c r="R71" s="219"/>
      <c r="S71" s="52" t="str">
        <f t="shared" si="9"/>
        <v>D</v>
      </c>
      <c r="U71" s="159">
        <f t="shared" si="7"/>
        <v>115</v>
      </c>
      <c r="V71" s="160"/>
      <c r="W71" s="161"/>
      <c r="X71" s="159">
        <f>IF(AG71 = "R", J54+M103-X117, IF(AG71 = "U", J54+M103-J123+J124-X117, IF(AG71 = "D", J54+M103-O123+O124-X117, X117)))</f>
        <v>-5.2299999999999995</v>
      </c>
      <c r="Y71" s="160"/>
      <c r="Z71" s="161"/>
      <c r="AA71" s="220" t="str">
        <f t="shared" si="4"/>
        <v>HC</v>
      </c>
      <c r="AB71" s="221"/>
      <c r="AC71" s="222"/>
      <c r="AD71" s="220" t="str">
        <f t="shared" si="5"/>
        <v>C/S</v>
      </c>
      <c r="AE71" s="221"/>
      <c r="AF71" s="222"/>
      <c r="AG71" s="220" t="str">
        <f t="shared" si="6"/>
        <v>R</v>
      </c>
      <c r="AH71" s="221"/>
      <c r="AI71" s="221"/>
      <c r="AJ71" s="222"/>
    </row>
    <row r="72" spans="1:38" s="53" customFormat="1" ht="14.25" customHeight="1" x14ac:dyDescent="0.25">
      <c r="A72" s="143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42"/>
      <c r="U72" s="159">
        <f t="shared" si="7"/>
        <v>0</v>
      </c>
      <c r="V72" s="160"/>
      <c r="W72" s="161"/>
      <c r="X72" s="159">
        <f>IF(AG72 = "R", J54+M103-X118, IF(AG72 = "U", J54+M103-J123+J124-X118, IF(AG72 = "D", J54+M103-O123+O124-X118, X118)))</f>
        <v>0</v>
      </c>
      <c r="Y72" s="160"/>
      <c r="Z72" s="161"/>
      <c r="AA72" s="220" t="str">
        <f t="shared" si="4"/>
        <v/>
      </c>
      <c r="AB72" s="221"/>
      <c r="AC72" s="222"/>
      <c r="AD72" s="220" t="str">
        <f t="shared" si="5"/>
        <v/>
      </c>
      <c r="AE72" s="221"/>
      <c r="AF72" s="222"/>
      <c r="AG72" s="220" t="str">
        <f t="shared" si="6"/>
        <v/>
      </c>
      <c r="AH72" s="221"/>
      <c r="AI72" s="221"/>
      <c r="AJ72" s="222"/>
    </row>
    <row r="73" spans="1:38" s="53" customFormat="1" ht="14.25" customHeight="1" x14ac:dyDescent="0.25">
      <c r="A73" s="143"/>
      <c r="B73" s="121"/>
      <c r="C73" s="248" t="s">
        <v>152</v>
      </c>
      <c r="D73" s="248"/>
      <c r="E73" s="248"/>
      <c r="F73" s="248"/>
      <c r="G73" s="248"/>
      <c r="H73" s="248"/>
      <c r="I73" s="248"/>
      <c r="J73" s="245" t="s">
        <v>149</v>
      </c>
      <c r="K73" s="245"/>
      <c r="L73" s="245"/>
      <c r="M73" s="245"/>
      <c r="N73" s="48"/>
      <c r="O73" s="245" t="s">
        <v>150</v>
      </c>
      <c r="P73" s="245"/>
      <c r="Q73" s="245"/>
      <c r="R73" s="245"/>
      <c r="S73" s="48"/>
      <c r="U73" s="159">
        <f t="shared" si="7"/>
        <v>0</v>
      </c>
      <c r="V73" s="160"/>
      <c r="W73" s="161"/>
      <c r="X73" s="159">
        <f>IF(AG73 = "R", J54+M103-X119, IF(AG73 = "U", J54+M103-J123+J124-X119, IF(AG73 = "D", J54+M103-O123+O124-X119, X119)))</f>
        <v>0</v>
      </c>
      <c r="Y73" s="160"/>
      <c r="Z73" s="161"/>
      <c r="AA73" s="220" t="str">
        <f t="shared" si="4"/>
        <v/>
      </c>
      <c r="AB73" s="221"/>
      <c r="AC73" s="222"/>
      <c r="AD73" s="220" t="str">
        <f t="shared" si="5"/>
        <v/>
      </c>
      <c r="AE73" s="221"/>
      <c r="AF73" s="222"/>
      <c r="AG73" s="220" t="str">
        <f t="shared" si="6"/>
        <v/>
      </c>
      <c r="AH73" s="221"/>
      <c r="AI73" s="221"/>
      <c r="AJ73" s="222"/>
    </row>
    <row r="74" spans="1:38" s="53" customFormat="1" ht="14.25" customHeight="1" x14ac:dyDescent="0.25">
      <c r="A74" s="143"/>
      <c r="B74" s="121"/>
      <c r="C74" s="242" t="s">
        <v>60</v>
      </c>
      <c r="D74" s="242"/>
      <c r="E74" s="242"/>
      <c r="F74" s="242"/>
      <c r="G74" s="242"/>
      <c r="H74" s="242"/>
      <c r="I74" s="242"/>
      <c r="J74" s="243">
        <f>J54+M103-J123</f>
        <v>5.19</v>
      </c>
      <c r="K74" s="243"/>
      <c r="L74" s="243"/>
      <c r="M74" s="244"/>
      <c r="N74" s="138">
        <f>N123</f>
        <v>0</v>
      </c>
      <c r="O74" s="243">
        <f>J54+M103-O123</f>
        <v>5.19</v>
      </c>
      <c r="P74" s="243"/>
      <c r="Q74" s="243"/>
      <c r="R74" s="243"/>
      <c r="S74" s="138">
        <f>S123</f>
        <v>0</v>
      </c>
      <c r="U74" s="159">
        <f t="shared" si="7"/>
        <v>0</v>
      </c>
      <c r="V74" s="160"/>
      <c r="W74" s="161"/>
      <c r="X74" s="159">
        <f>IF(AG74 = "R", J54+M103-X120, IF(AG74 = "U", J54+M103-J123+J124-X120, IF(AG74 = "D", J54+M103-O123+O124-X120, X120)))</f>
        <v>0</v>
      </c>
      <c r="Y74" s="160"/>
      <c r="Z74" s="161"/>
      <c r="AA74" s="220" t="str">
        <f t="shared" si="4"/>
        <v/>
      </c>
      <c r="AB74" s="221"/>
      <c r="AC74" s="222"/>
      <c r="AD74" s="220" t="str">
        <f t="shared" si="5"/>
        <v/>
      </c>
      <c r="AE74" s="221"/>
      <c r="AF74" s="222"/>
      <c r="AG74" s="220" t="str">
        <f t="shared" si="6"/>
        <v/>
      </c>
      <c r="AH74" s="221"/>
      <c r="AI74" s="221"/>
      <c r="AJ74" s="222"/>
    </row>
    <row r="75" spans="1:38" s="53" customFormat="1" ht="14.25" customHeight="1" thickBot="1" x14ac:dyDescent="0.3">
      <c r="A75" s="144"/>
      <c r="B75" s="145"/>
      <c r="C75" s="242" t="s">
        <v>61</v>
      </c>
      <c r="D75" s="242"/>
      <c r="E75" s="242"/>
      <c r="F75" s="242"/>
      <c r="G75" s="242"/>
      <c r="H75" s="242"/>
      <c r="I75" s="242"/>
      <c r="J75" s="226">
        <f>J74+J124</f>
        <v>5.19</v>
      </c>
      <c r="K75" s="226"/>
      <c r="L75" s="226"/>
      <c r="M75" s="249"/>
      <c r="N75" s="138">
        <f>N124</f>
        <v>0</v>
      </c>
      <c r="O75" s="226">
        <f>O74+O124</f>
        <v>5.19</v>
      </c>
      <c r="P75" s="226"/>
      <c r="Q75" s="226"/>
      <c r="R75" s="226"/>
      <c r="S75" s="138">
        <f>S124</f>
        <v>0</v>
      </c>
      <c r="U75" s="159">
        <f t="shared" si="7"/>
        <v>0</v>
      </c>
      <c r="V75" s="160"/>
      <c r="W75" s="161"/>
      <c r="X75" s="159">
        <f>IF(AG75 = "R", J54+M103-X121, IF(AG75 = "U", J54+M103-J123+J124-X121, IF(AG75 = "D", J54+M103-O123+O124-X121, X121)))</f>
        <v>0</v>
      </c>
      <c r="Y75" s="160"/>
      <c r="Z75" s="161"/>
      <c r="AA75" s="220" t="str">
        <f t="shared" si="4"/>
        <v/>
      </c>
      <c r="AB75" s="221"/>
      <c r="AC75" s="222"/>
      <c r="AD75" s="220" t="str">
        <f t="shared" si="5"/>
        <v/>
      </c>
      <c r="AE75" s="221"/>
      <c r="AF75" s="222"/>
      <c r="AG75" s="220" t="str">
        <f t="shared" si="6"/>
        <v/>
      </c>
      <c r="AH75" s="221"/>
      <c r="AI75" s="221"/>
      <c r="AJ75" s="222"/>
    </row>
    <row r="76" spans="1:38" s="53" customFormat="1" ht="14.25" customHeight="1" x14ac:dyDescent="0.25">
      <c r="A76" s="140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9">
        <f t="shared" si="7"/>
        <v>0</v>
      </c>
      <c r="V76" s="160"/>
      <c r="W76" s="161"/>
      <c r="X76" s="159">
        <f>IF(AG76 = "R", J54+M103-X122, IF(AG76 = "U", J54+M103-J123+J124-X122, IF(AG76 = "D", J54+M103-O123+O124-X122, X122)))</f>
        <v>0</v>
      </c>
      <c r="Y76" s="160"/>
      <c r="Z76" s="161"/>
      <c r="AA76" s="220" t="str">
        <f t="shared" si="4"/>
        <v/>
      </c>
      <c r="AB76" s="221"/>
      <c r="AC76" s="222"/>
      <c r="AD76" s="220" t="str">
        <f t="shared" si="5"/>
        <v/>
      </c>
      <c r="AE76" s="221"/>
      <c r="AF76" s="222"/>
      <c r="AG76" s="220" t="str">
        <f t="shared" si="6"/>
        <v/>
      </c>
      <c r="AH76" s="221"/>
      <c r="AI76" s="221"/>
      <c r="AJ76" s="222"/>
    </row>
    <row r="77" spans="1:38" s="53" customFormat="1" ht="14.25" customHeight="1" x14ac:dyDescent="0.25">
      <c r="A77" s="140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9">
        <f t="shared" si="7"/>
        <v>0</v>
      </c>
      <c r="V77" s="160"/>
      <c r="W77" s="161"/>
      <c r="X77" s="159">
        <f>IF(AG77 = "R", J54+M103-X123, IF(AG77 = "U", J54+M103-J123+J124-X123, IF(AG77 = "D", J54+M103-O123+O124-X123, X123)))</f>
        <v>0</v>
      </c>
      <c r="Y77" s="160"/>
      <c r="Z77" s="161"/>
      <c r="AA77" s="220" t="str">
        <f t="shared" si="4"/>
        <v/>
      </c>
      <c r="AB77" s="221"/>
      <c r="AC77" s="222"/>
      <c r="AD77" s="220" t="str">
        <f t="shared" si="5"/>
        <v/>
      </c>
      <c r="AE77" s="221"/>
      <c r="AF77" s="222"/>
      <c r="AG77" s="220" t="str">
        <f t="shared" si="6"/>
        <v/>
      </c>
      <c r="AH77" s="221"/>
      <c r="AI77" s="221"/>
      <c r="AJ77" s="222"/>
    </row>
    <row r="78" spans="1:38" s="53" customFormat="1" ht="14.25" customHeight="1" x14ac:dyDescent="0.25">
      <c r="A78" s="140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9">
        <f t="shared" si="7"/>
        <v>0</v>
      </c>
      <c r="V78" s="160"/>
      <c r="W78" s="161"/>
      <c r="X78" s="159">
        <f>IF(AG78 = "R", J54+M103-X124, IF(AG78 = "U", J54+M103-J123+J124-X124, IF(AG78 = "D", J54+M103-O123+O124-X124, X124)))</f>
        <v>0</v>
      </c>
      <c r="Y78" s="160"/>
      <c r="Z78" s="161"/>
      <c r="AA78" s="220" t="str">
        <f t="shared" si="4"/>
        <v/>
      </c>
      <c r="AB78" s="221"/>
      <c r="AC78" s="222"/>
      <c r="AD78" s="220" t="str">
        <f t="shared" si="5"/>
        <v/>
      </c>
      <c r="AE78" s="221"/>
      <c r="AF78" s="222"/>
      <c r="AG78" s="220" t="str">
        <f t="shared" si="6"/>
        <v/>
      </c>
      <c r="AH78" s="221"/>
      <c r="AI78" s="221"/>
      <c r="AJ78" s="222"/>
    </row>
    <row r="79" spans="1:38" s="53" customFormat="1" ht="14.25" customHeight="1" x14ac:dyDescent="0.25">
      <c r="D79" s="151"/>
      <c r="E79" s="151"/>
      <c r="F79" s="662" t="s">
        <v>248</v>
      </c>
      <c r="G79" s="662"/>
      <c r="H79" s="662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669"/>
      <c r="V79" s="669"/>
      <c r="W79" s="669"/>
      <c r="X79" s="669"/>
      <c r="Y79" s="669"/>
      <c r="Z79" s="669"/>
      <c r="AA79" s="669"/>
      <c r="AB79" s="669"/>
      <c r="AC79" s="669"/>
      <c r="AD79" s="669"/>
      <c r="AE79" s="669"/>
      <c r="AF79" s="669"/>
      <c r="AG79" s="669"/>
      <c r="AH79" s="669"/>
      <c r="AI79" s="669"/>
      <c r="AJ79" s="669"/>
    </row>
    <row r="80" spans="1:38" s="53" customFormat="1" ht="14.25" customHeight="1" x14ac:dyDescent="0.25">
      <c r="A80" s="646" t="s">
        <v>242</v>
      </c>
      <c r="B80" s="646"/>
      <c r="C80" s="646"/>
      <c r="D80" s="151"/>
      <c r="E80" s="151"/>
      <c r="F80" s="155" t="s">
        <v>147</v>
      </c>
      <c r="G80" s="155" t="s">
        <v>142</v>
      </c>
      <c r="H80" s="155" t="s">
        <v>143</v>
      </c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40"/>
      <c r="AI80" s="140"/>
      <c r="AJ80" s="140"/>
      <c r="AK80" s="140"/>
      <c r="AL80" s="140"/>
    </row>
    <row r="81" spans="1:38" s="53" customFormat="1" ht="14.25" customHeight="1" x14ac:dyDescent="0.25">
      <c r="A81" s="646"/>
      <c r="B81" s="646"/>
      <c r="C81" s="646"/>
      <c r="D81" s="151"/>
      <c r="E81" s="151"/>
      <c r="F81" s="156" t="s">
        <v>226</v>
      </c>
      <c r="G81" s="156">
        <f>AF54</f>
        <v>29</v>
      </c>
      <c r="H81" s="156">
        <f>J66</f>
        <v>-3.8099999999999996</v>
      </c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40"/>
      <c r="AI81" s="140"/>
      <c r="AJ81" s="140"/>
      <c r="AK81" s="140"/>
      <c r="AL81" s="140"/>
    </row>
    <row r="82" spans="1:38" s="53" customFormat="1" ht="14.25" customHeight="1" x14ac:dyDescent="0.25">
      <c r="A82" s="155" t="s">
        <v>147</v>
      </c>
      <c r="B82" s="155" t="s">
        <v>142</v>
      </c>
      <c r="C82" s="155" t="s">
        <v>143</v>
      </c>
      <c r="D82" s="151"/>
      <c r="E82" s="151"/>
      <c r="F82" s="176" t="s">
        <v>226</v>
      </c>
      <c r="G82" s="156">
        <f>AF55</f>
        <v>73</v>
      </c>
      <c r="H82" s="156">
        <f>O66</f>
        <v>-3.3999999999999995</v>
      </c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40"/>
      <c r="AI82" s="140"/>
      <c r="AJ82" s="140"/>
      <c r="AK82" s="140"/>
      <c r="AL82" s="140"/>
    </row>
    <row r="83" spans="1:38" s="53" customFormat="1" ht="14.25" customHeight="1" x14ac:dyDescent="0.25">
      <c r="A83" s="156" t="s">
        <v>226</v>
      </c>
      <c r="B83" s="156">
        <f>AF54</f>
        <v>29</v>
      </c>
      <c r="C83" s="156">
        <f>J66</f>
        <v>-3.8099999999999996</v>
      </c>
      <c r="D83" s="650" t="s">
        <v>228</v>
      </c>
      <c r="E83" s="651"/>
      <c r="F83" s="651"/>
      <c r="G83" s="652"/>
      <c r="H83" s="650" t="s">
        <v>231</v>
      </c>
      <c r="I83" s="651"/>
      <c r="J83" s="651"/>
      <c r="K83" s="652"/>
      <c r="L83" s="650" t="s">
        <v>232</v>
      </c>
      <c r="M83" s="651"/>
      <c r="N83" s="651"/>
      <c r="O83" s="652"/>
      <c r="P83" s="650" t="s">
        <v>237</v>
      </c>
      <c r="Q83" s="651"/>
      <c r="R83" s="651"/>
      <c r="S83" s="652"/>
      <c r="T83" s="656" t="s">
        <v>238</v>
      </c>
      <c r="U83" s="657"/>
      <c r="V83" s="657"/>
      <c r="W83" s="658"/>
      <c r="X83" s="656" t="s">
        <v>239</v>
      </c>
      <c r="Y83" s="657"/>
      <c r="Z83" s="657"/>
      <c r="AA83" s="658"/>
      <c r="AB83" s="656" t="s">
        <v>240</v>
      </c>
      <c r="AC83" s="657"/>
      <c r="AD83" s="657"/>
      <c r="AE83" s="658"/>
      <c r="AF83" s="656" t="s">
        <v>241</v>
      </c>
      <c r="AG83" s="657"/>
      <c r="AH83" s="657"/>
      <c r="AI83" s="657"/>
      <c r="AJ83" s="658"/>
    </row>
    <row r="84" spans="1:38" ht="14.25" customHeight="1" x14ac:dyDescent="0.25">
      <c r="A84" s="157" t="s">
        <v>243</v>
      </c>
      <c r="B84" s="157">
        <f>B85-(V54/2)</f>
        <v>29</v>
      </c>
      <c r="C84" s="158">
        <f>J67</f>
        <v>-0.69999999999999929</v>
      </c>
      <c r="D84" s="653"/>
      <c r="E84" s="654"/>
      <c r="F84" s="654"/>
      <c r="G84" s="655"/>
      <c r="H84" s="653"/>
      <c r="I84" s="654"/>
      <c r="J84" s="654"/>
      <c r="K84" s="655"/>
      <c r="L84" s="653"/>
      <c r="M84" s="654"/>
      <c r="N84" s="654"/>
      <c r="O84" s="655"/>
      <c r="P84" s="653"/>
      <c r="Q84" s="654"/>
      <c r="R84" s="654"/>
      <c r="S84" s="655"/>
      <c r="T84" s="659"/>
      <c r="U84" s="660"/>
      <c r="V84" s="660"/>
      <c r="W84" s="661"/>
      <c r="X84" s="659"/>
      <c r="Y84" s="660"/>
      <c r="Z84" s="660"/>
      <c r="AA84" s="661"/>
      <c r="AB84" s="659"/>
      <c r="AC84" s="660"/>
      <c r="AD84" s="660"/>
      <c r="AE84" s="661"/>
      <c r="AF84" s="659"/>
      <c r="AG84" s="660"/>
      <c r="AH84" s="660"/>
      <c r="AI84" s="660"/>
      <c r="AJ84" s="661"/>
    </row>
    <row r="85" spans="1:38" s="53" customFormat="1" ht="14.25" customHeight="1" x14ac:dyDescent="0.25">
      <c r="A85" s="157" t="s">
        <v>244</v>
      </c>
      <c r="B85" s="157">
        <f>((AF55-AF54)/2)+AF54</f>
        <v>51</v>
      </c>
      <c r="C85" s="158">
        <f>J54</f>
        <v>0</v>
      </c>
      <c r="D85" s="647" t="s">
        <v>229</v>
      </c>
      <c r="E85" s="648"/>
      <c r="F85" s="648" t="s">
        <v>230</v>
      </c>
      <c r="G85" s="649"/>
      <c r="H85" s="647" t="s">
        <v>229</v>
      </c>
      <c r="I85" s="648"/>
      <c r="J85" s="648" t="s">
        <v>230</v>
      </c>
      <c r="K85" s="649"/>
      <c r="L85" s="647" t="s">
        <v>229</v>
      </c>
      <c r="M85" s="648"/>
      <c r="N85" s="648" t="s">
        <v>230</v>
      </c>
      <c r="O85" s="649"/>
      <c r="P85" s="647" t="s">
        <v>229</v>
      </c>
      <c r="Q85" s="648"/>
      <c r="R85" s="648" t="s">
        <v>230</v>
      </c>
      <c r="S85" s="649"/>
      <c r="T85" s="643" t="s">
        <v>229</v>
      </c>
      <c r="U85" s="644"/>
      <c r="V85" s="644" t="s">
        <v>230</v>
      </c>
      <c r="W85" s="645"/>
      <c r="X85" s="643" t="s">
        <v>229</v>
      </c>
      <c r="Y85" s="644"/>
      <c r="Z85" s="644" t="s">
        <v>230</v>
      </c>
      <c r="AA85" s="645"/>
      <c r="AB85" s="643" t="s">
        <v>229</v>
      </c>
      <c r="AC85" s="644"/>
      <c r="AD85" s="644" t="s">
        <v>230</v>
      </c>
      <c r="AE85" s="645"/>
      <c r="AF85" s="643" t="s">
        <v>229</v>
      </c>
      <c r="AG85" s="644"/>
      <c r="AH85" s="644" t="s">
        <v>230</v>
      </c>
      <c r="AI85" s="644"/>
      <c r="AJ85" s="645"/>
    </row>
    <row r="86" spans="1:38" s="53" customFormat="1" ht="14.25" customHeight="1" x14ac:dyDescent="0.25">
      <c r="A86" s="157" t="s">
        <v>243</v>
      </c>
      <c r="B86" s="157">
        <f>B85+(V54/2)</f>
        <v>73</v>
      </c>
      <c r="C86" s="158">
        <f>O67</f>
        <v>-2.9999999999999361E-2</v>
      </c>
      <c r="D86" s="166">
        <f>AF54/2</f>
        <v>14.5</v>
      </c>
      <c r="E86" s="163"/>
      <c r="F86" s="154">
        <f>J64</f>
        <v>-2.9099999999999993</v>
      </c>
      <c r="G86" s="167"/>
      <c r="H86" s="166">
        <f>D86+AF54/4</f>
        <v>21.75</v>
      </c>
      <c r="I86" s="163"/>
      <c r="J86" s="154">
        <f>J65</f>
        <v>-0.9399999999999995</v>
      </c>
      <c r="K86" s="167"/>
      <c r="L86" s="166">
        <f>D86-(AF54/4)</f>
        <v>7.25</v>
      </c>
      <c r="M86" s="163"/>
      <c r="N86" s="154">
        <f>AVERAGE(J68:M71)</f>
        <v>-3.7050000000000001</v>
      </c>
      <c r="O86" s="167"/>
      <c r="P86" s="166">
        <f>L86</f>
        <v>7.25</v>
      </c>
      <c r="Q86" s="163"/>
      <c r="R86" s="154">
        <f>J60</f>
        <v>-4.28</v>
      </c>
      <c r="S86" s="167"/>
      <c r="T86" s="171">
        <f>AF55+AF54-D87</f>
        <v>80.25</v>
      </c>
      <c r="U86" s="164"/>
      <c r="V86" s="153">
        <f>O64</f>
        <v>-3.5999999999999988</v>
      </c>
      <c r="W86" s="175"/>
      <c r="X86" s="171">
        <f>AF55</f>
        <v>73</v>
      </c>
      <c r="Y86" s="164"/>
      <c r="Z86" s="153">
        <f>O65</f>
        <v>-1.1499999999999995</v>
      </c>
      <c r="AA86" s="175"/>
      <c r="AB86" s="171">
        <f>T87</f>
        <v>87.5</v>
      </c>
      <c r="AC86" s="164"/>
      <c r="AD86" s="153">
        <f>AVERAGE(O68:R71)</f>
        <v>-3.92</v>
      </c>
      <c r="AE86" s="175"/>
      <c r="AF86" s="171">
        <f>X86</f>
        <v>73</v>
      </c>
      <c r="AG86" s="164"/>
      <c r="AH86" s="153">
        <f>O60</f>
        <v>-4.2599999999999989</v>
      </c>
      <c r="AI86" s="178"/>
      <c r="AJ86" s="175"/>
    </row>
    <row r="87" spans="1:38" ht="14.25" customHeight="1" x14ac:dyDescent="0.25">
      <c r="A87" s="157" t="s">
        <v>226</v>
      </c>
      <c r="B87" s="156">
        <f>AF55</f>
        <v>73</v>
      </c>
      <c r="C87" s="156">
        <f>O66</f>
        <v>-3.3999999999999995</v>
      </c>
      <c r="D87" s="168">
        <f>AF54/4*3</f>
        <v>21.75</v>
      </c>
      <c r="E87" s="169"/>
      <c r="F87" s="169">
        <f>J64</f>
        <v>-2.9099999999999993</v>
      </c>
      <c r="G87" s="170"/>
      <c r="H87" s="168">
        <f>D87+(AF54/4)</f>
        <v>29</v>
      </c>
      <c r="I87" s="169"/>
      <c r="J87" s="169">
        <f>J65</f>
        <v>-0.9399999999999995</v>
      </c>
      <c r="K87" s="170"/>
      <c r="L87" s="168">
        <f>D86</f>
        <v>14.5</v>
      </c>
      <c r="M87" s="169"/>
      <c r="N87" s="169">
        <f>AVERAGE(J68:M71)</f>
        <v>-3.7050000000000001</v>
      </c>
      <c r="O87" s="170"/>
      <c r="P87" s="168">
        <f>H87</f>
        <v>29</v>
      </c>
      <c r="Q87" s="169"/>
      <c r="R87" s="169">
        <f>J60</f>
        <v>-4.28</v>
      </c>
      <c r="S87" s="170"/>
      <c r="T87" s="172">
        <f>T86+D87-D86</f>
        <v>87.5</v>
      </c>
      <c r="U87" s="173"/>
      <c r="V87" s="173">
        <f>O64</f>
        <v>-3.5999999999999988</v>
      </c>
      <c r="W87" s="174"/>
      <c r="X87" s="172">
        <f>T86</f>
        <v>80.25</v>
      </c>
      <c r="Y87" s="173"/>
      <c r="Z87" s="173">
        <f>O65</f>
        <v>-1.1499999999999995</v>
      </c>
      <c r="AA87" s="174"/>
      <c r="AB87" s="172">
        <f>AB86+D87-D86</f>
        <v>94.75</v>
      </c>
      <c r="AC87" s="173"/>
      <c r="AD87" s="173">
        <f>AVERAGE(O68:R71)</f>
        <v>-3.92</v>
      </c>
      <c r="AE87" s="174"/>
      <c r="AF87" s="172">
        <f>T87+D87-D86</f>
        <v>94.75</v>
      </c>
      <c r="AG87" s="173"/>
      <c r="AH87" s="173">
        <f>O60</f>
        <v>-4.2599999999999989</v>
      </c>
      <c r="AI87" s="173"/>
      <c r="AJ87" s="174"/>
    </row>
    <row r="88" spans="1:38" ht="14.25" customHeight="1" x14ac:dyDescent="0.25"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77"/>
      <c r="AJ88" s="150"/>
    </row>
    <row r="89" spans="1:38" s="53" customFormat="1" ht="14.25" customHeight="1" x14ac:dyDescent="0.25"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77"/>
      <c r="AJ89" s="162"/>
    </row>
    <row r="90" spans="1:38" s="53" customFormat="1" ht="14.25" customHeight="1" x14ac:dyDescent="0.25"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77"/>
      <c r="AJ90" s="162"/>
    </row>
    <row r="91" spans="1:38" s="53" customFormat="1" ht="14.25" customHeight="1" x14ac:dyDescent="0.25"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77"/>
      <c r="AJ91" s="162"/>
    </row>
    <row r="92" spans="1:38" s="53" customFormat="1" ht="14.25" customHeight="1" x14ac:dyDescent="0.25"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77"/>
      <c r="AJ92" s="162"/>
    </row>
    <row r="93" spans="1:38" s="53" customFormat="1" ht="14.25" customHeight="1" x14ac:dyDescent="0.25"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77"/>
      <c r="AJ93" s="162"/>
    </row>
    <row r="94" spans="1:38" s="53" customFormat="1" ht="14.25" customHeight="1" x14ac:dyDescent="0.25"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77"/>
      <c r="AJ94" s="162"/>
    </row>
    <row r="95" spans="1:38" s="53" customFormat="1" ht="14.25" customHeight="1" x14ac:dyDescent="0.25"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77"/>
      <c r="AJ95" s="162"/>
    </row>
    <row r="96" spans="1:38" s="53" customFormat="1" ht="14.25" customHeight="1" x14ac:dyDescent="0.25"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77"/>
      <c r="AJ96" s="162"/>
    </row>
    <row r="97" spans="1:36" s="53" customFormat="1" ht="14.25" customHeight="1" x14ac:dyDescent="0.25"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77"/>
      <c r="AJ97" s="162"/>
    </row>
    <row r="98" spans="1:36" s="53" customFormat="1" ht="14.25" customHeight="1" x14ac:dyDescent="0.25"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77"/>
      <c r="AJ98" s="162"/>
    </row>
    <row r="99" spans="1:36" s="53" customFormat="1" ht="14.25" customHeight="1" x14ac:dyDescent="0.25"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77"/>
      <c r="AJ99" s="162"/>
    </row>
    <row r="100" spans="1:36" s="53" customFormat="1" ht="14.25" customHeight="1" x14ac:dyDescent="0.25"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77"/>
      <c r="AJ100" s="162"/>
    </row>
    <row r="101" spans="1:36" ht="14.25" customHeight="1" x14ac:dyDescent="0.25">
      <c r="A101" s="149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77"/>
      <c r="AJ101" s="150"/>
    </row>
    <row r="102" spans="1:36" ht="14.25" customHeight="1" x14ac:dyDescent="0.25">
      <c r="A102" s="639" t="s">
        <v>249</v>
      </c>
      <c r="B102" s="639"/>
      <c r="C102" s="639"/>
      <c r="D102" s="639"/>
      <c r="E102" s="639"/>
      <c r="F102" s="639"/>
      <c r="G102" s="639"/>
      <c r="H102" s="639"/>
      <c r="I102" s="639"/>
      <c r="J102" s="639"/>
      <c r="K102" s="639"/>
      <c r="L102" s="639"/>
      <c r="M102" s="639"/>
      <c r="N102" s="639"/>
      <c r="O102" s="639"/>
      <c r="P102" s="639"/>
      <c r="Q102" s="639"/>
      <c r="R102" s="639"/>
      <c r="S102" s="639"/>
      <c r="T102" s="639"/>
      <c r="U102" s="639"/>
      <c r="V102" s="639"/>
      <c r="W102" s="639"/>
      <c r="X102" s="639"/>
      <c r="Y102" s="639"/>
      <c r="Z102" s="639"/>
      <c r="AA102" s="639"/>
      <c r="AB102" s="639"/>
      <c r="AC102" s="639"/>
      <c r="AD102" s="639"/>
      <c r="AE102" s="639"/>
      <c r="AF102" s="639"/>
      <c r="AG102" s="639"/>
      <c r="AH102" s="639"/>
      <c r="AI102" s="639"/>
      <c r="AJ102" s="639"/>
    </row>
    <row r="103" spans="1:36" s="35" customFormat="1" ht="14.25" customHeight="1" x14ac:dyDescent="0.25">
      <c r="A103" s="53" t="s">
        <v>62</v>
      </c>
      <c r="B103" s="53"/>
      <c r="C103" s="53"/>
      <c r="D103" s="53"/>
      <c r="E103" s="53"/>
      <c r="F103" s="53"/>
      <c r="G103" s="53"/>
      <c r="H103" s="53"/>
      <c r="I103" s="53"/>
      <c r="M103" s="619">
        <f>'Data Sheet - SITE'!J107</f>
        <v>5.19</v>
      </c>
      <c r="N103" s="620"/>
      <c r="O103" s="620"/>
      <c r="P103" s="217" t="str">
        <f>'Data Sheet - SITE'!M107</f>
        <v>R</v>
      </c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</row>
    <row r="104" spans="1:36" s="35" customFormat="1" ht="14.25" customHeight="1" thickBot="1" x14ac:dyDescent="0.3">
      <c r="A104" s="35" t="s">
        <v>297</v>
      </c>
      <c r="M104" s="619">
        <f>'Data Sheet - SITE'!M99</f>
        <v>5.19</v>
      </c>
      <c r="N104" s="620"/>
      <c r="O104" s="620"/>
      <c r="P104" s="38" t="str">
        <f>'Data Sheet - SITE'!P99</f>
        <v>R</v>
      </c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  <c r="AH104" s="152"/>
      <c r="AI104" s="152"/>
      <c r="AJ104" s="152"/>
    </row>
    <row r="105" spans="1:36" ht="14.25" customHeight="1" thickBot="1" x14ac:dyDescent="0.3">
      <c r="A105" s="35" t="s">
        <v>298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619">
        <f>'Data Sheet - SITE'!M100</f>
        <v>0</v>
      </c>
      <c r="N105" s="620"/>
      <c r="O105" s="620"/>
      <c r="P105" s="38" t="str">
        <f>'Data Sheet - SITE'!P100</f>
        <v>U</v>
      </c>
      <c r="Q105" s="121"/>
      <c r="R105" s="121"/>
      <c r="S105" s="121"/>
      <c r="U105" s="223" t="s">
        <v>165</v>
      </c>
      <c r="V105" s="224"/>
      <c r="W105" s="224"/>
      <c r="X105" s="224"/>
      <c r="Y105" s="224"/>
      <c r="Z105" s="224"/>
      <c r="AA105" s="224"/>
      <c r="AB105" s="224"/>
      <c r="AC105" s="224"/>
      <c r="AD105" s="224"/>
      <c r="AE105" s="224"/>
      <c r="AF105" s="224"/>
      <c r="AG105" s="224"/>
      <c r="AH105" s="224"/>
      <c r="AI105" s="224"/>
      <c r="AJ105" s="225"/>
    </row>
    <row r="106" spans="1:36" ht="14.25" customHeight="1" x14ac:dyDescent="0.25">
      <c r="A106" s="35" t="s">
        <v>299</v>
      </c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619">
        <f>'Data Sheet - SITE'!M101</f>
        <v>4.99</v>
      </c>
      <c r="N106" s="620"/>
      <c r="O106" s="620"/>
      <c r="P106" s="38" t="str">
        <f>'Data Sheet - SITE'!P101</f>
        <v>D</v>
      </c>
      <c r="Q106" s="121"/>
      <c r="R106" s="121"/>
      <c r="S106" s="121"/>
      <c r="U106" s="598" t="s">
        <v>142</v>
      </c>
      <c r="V106" s="599"/>
      <c r="W106" s="600"/>
      <c r="X106" s="598" t="s">
        <v>143</v>
      </c>
      <c r="Y106" s="599"/>
      <c r="Z106" s="600"/>
      <c r="AA106" s="604" t="s">
        <v>144</v>
      </c>
      <c r="AB106" s="605"/>
      <c r="AC106" s="606"/>
      <c r="AD106" s="604" t="s">
        <v>146</v>
      </c>
      <c r="AE106" s="599"/>
      <c r="AF106" s="600"/>
      <c r="AG106" s="604" t="s">
        <v>159</v>
      </c>
      <c r="AH106" s="605"/>
      <c r="AI106" s="605"/>
      <c r="AJ106" s="606"/>
    </row>
    <row r="107" spans="1:36" ht="14.25" customHeight="1" thickBot="1" x14ac:dyDescent="0.3">
      <c r="A107" s="35" t="s">
        <v>300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619">
        <f>'Data Sheet - SITE'!M102</f>
        <v>0</v>
      </c>
      <c r="N107" s="620"/>
      <c r="O107" s="620"/>
      <c r="P107" s="38" t="str">
        <f>'Data Sheet - SITE'!P102</f>
        <v>X</v>
      </c>
      <c r="Q107" s="121"/>
      <c r="R107" s="121"/>
      <c r="S107" s="121"/>
      <c r="U107" s="601"/>
      <c r="V107" s="602"/>
      <c r="W107" s="603"/>
      <c r="X107" s="601"/>
      <c r="Y107" s="602"/>
      <c r="Z107" s="603"/>
      <c r="AA107" s="607"/>
      <c r="AB107" s="608"/>
      <c r="AC107" s="609"/>
      <c r="AD107" s="601"/>
      <c r="AE107" s="602"/>
      <c r="AF107" s="603"/>
      <c r="AG107" s="607"/>
      <c r="AH107" s="608"/>
      <c r="AI107" s="608"/>
      <c r="AJ107" s="609"/>
    </row>
    <row r="108" spans="1:36" ht="14.25" customHeight="1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269" t="s">
        <v>149</v>
      </c>
      <c r="K108" s="269"/>
      <c r="L108" s="269"/>
      <c r="M108" s="269"/>
      <c r="N108" s="42"/>
      <c r="O108" s="270" t="s">
        <v>150</v>
      </c>
      <c r="P108" s="270"/>
      <c r="Q108" s="270"/>
      <c r="R108" s="270"/>
      <c r="S108" s="40"/>
      <c r="U108" s="220">
        <f>'Data Sheet - SITE'!A124</f>
        <v>0</v>
      </c>
      <c r="V108" s="221"/>
      <c r="W108" s="222"/>
      <c r="X108" s="220">
        <f>'Data Sheet - SITE'!D124</f>
        <v>10.29</v>
      </c>
      <c r="Y108" s="221"/>
      <c r="Z108" s="222"/>
      <c r="AA108" s="220" t="str">
        <f>'Data Sheet - SITE'!G124</f>
        <v>HC</v>
      </c>
      <c r="AB108" s="221"/>
      <c r="AC108" s="222"/>
      <c r="AD108" s="220" t="str">
        <f>'Data Sheet - SITE'!J124</f>
        <v>G</v>
      </c>
      <c r="AE108" s="221"/>
      <c r="AF108" s="222"/>
      <c r="AG108" s="220" t="str">
        <f>'Data Sheet - SITE'!M124</f>
        <v>D</v>
      </c>
      <c r="AH108" s="221"/>
      <c r="AI108" s="221"/>
      <c r="AJ108" s="221"/>
    </row>
    <row r="109" spans="1:36" ht="14.25" customHeight="1" x14ac:dyDescent="0.25">
      <c r="A109" s="35" t="s">
        <v>151</v>
      </c>
      <c r="B109" s="35"/>
      <c r="C109" s="35"/>
      <c r="D109" s="35"/>
      <c r="E109" s="35"/>
      <c r="F109" s="35"/>
      <c r="G109" s="35"/>
      <c r="H109" s="35"/>
      <c r="I109" s="35"/>
      <c r="J109" s="247">
        <f>'Data Sheet - SITE'!Y95</f>
        <v>9.4700000000000006</v>
      </c>
      <c r="K109" s="283"/>
      <c r="L109" s="283"/>
      <c r="M109" s="284"/>
      <c r="N109" s="51" t="str">
        <f>'Data Sheet - SITE'!AC95</f>
        <v>D</v>
      </c>
      <c r="O109" s="326">
        <f>'Data Sheet - SITE'!AD95</f>
        <v>9.4499999999999993</v>
      </c>
      <c r="P109" s="327"/>
      <c r="Q109" s="327"/>
      <c r="R109" s="328"/>
      <c r="S109" s="52" t="str">
        <f>'Data Sheet - SITE'!AH95</f>
        <v>D</v>
      </c>
      <c r="U109" s="220">
        <f>'Data Sheet - SITE'!A125</f>
        <v>15</v>
      </c>
      <c r="V109" s="221"/>
      <c r="W109" s="222"/>
      <c r="X109" s="220">
        <f>'Data Sheet - SITE'!D125</f>
        <v>9.4700000000000006</v>
      </c>
      <c r="Y109" s="221"/>
      <c r="Z109" s="222"/>
      <c r="AA109" s="220" t="str">
        <f>'Data Sheet - SITE'!G125</f>
        <v>HC</v>
      </c>
      <c r="AB109" s="221"/>
      <c r="AC109" s="222"/>
      <c r="AD109" s="220" t="str">
        <f>'Data Sheet - SITE'!J125</f>
        <v>G</v>
      </c>
      <c r="AE109" s="221"/>
      <c r="AF109" s="222"/>
      <c r="AG109" s="220" t="str">
        <f>'Data Sheet - SITE'!M125</f>
        <v>D</v>
      </c>
      <c r="AH109" s="221"/>
      <c r="AI109" s="221"/>
      <c r="AJ109" s="221"/>
    </row>
    <row r="110" spans="1:36" ht="14.25" customHeight="1" x14ac:dyDescent="0.25">
      <c r="A110" s="143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42"/>
      <c r="U110" s="220">
        <f>'Data Sheet - SITE'!A126</f>
        <v>27</v>
      </c>
      <c r="V110" s="221"/>
      <c r="W110" s="222"/>
      <c r="X110" s="220">
        <f>'Data Sheet - SITE'!D126</f>
        <v>10.07</v>
      </c>
      <c r="Y110" s="221"/>
      <c r="Z110" s="222"/>
      <c r="AA110" s="220" t="str">
        <f>'Data Sheet - SITE'!G126</f>
        <v>P</v>
      </c>
      <c r="AB110" s="221"/>
      <c r="AC110" s="222"/>
      <c r="AD110" s="220" t="str">
        <f>'Data Sheet - SITE'!J126</f>
        <v>G</v>
      </c>
      <c r="AE110" s="221"/>
      <c r="AF110" s="222"/>
      <c r="AG110" s="220" t="str">
        <f>'Data Sheet - SITE'!M126</f>
        <v>D</v>
      </c>
      <c r="AH110" s="221"/>
      <c r="AI110" s="221"/>
      <c r="AJ110" s="221"/>
    </row>
    <row r="111" spans="1:36" ht="14.25" customHeight="1" x14ac:dyDescent="0.25">
      <c r="A111" s="143"/>
      <c r="B111" s="121"/>
      <c r="C111" s="282" t="s">
        <v>204</v>
      </c>
      <c r="D111" s="282"/>
      <c r="E111" s="282"/>
      <c r="F111" s="282"/>
      <c r="G111" s="282"/>
      <c r="H111" s="282"/>
      <c r="I111" s="282"/>
      <c r="J111" s="282"/>
      <c r="K111" s="282"/>
      <c r="L111" s="282"/>
      <c r="M111" s="282"/>
      <c r="N111" s="282"/>
      <c r="O111" s="282"/>
      <c r="P111" s="282"/>
      <c r="Q111" s="282"/>
      <c r="R111" s="282"/>
      <c r="S111" s="53"/>
      <c r="U111" s="220">
        <f>'Data Sheet - SITE'!A127</f>
        <v>28</v>
      </c>
      <c r="V111" s="221"/>
      <c r="W111" s="222"/>
      <c r="X111" s="220">
        <f>'Data Sheet - SITE'!D127</f>
        <v>10.07</v>
      </c>
      <c r="Y111" s="221"/>
      <c r="Z111" s="222"/>
      <c r="AA111" s="220" t="str">
        <f>'Data Sheet - SITE'!G127</f>
        <v>GC</v>
      </c>
      <c r="AB111" s="221"/>
      <c r="AC111" s="222"/>
      <c r="AD111" s="220" t="str">
        <f>'Data Sheet - SITE'!J127</f>
        <v>G</v>
      </c>
      <c r="AE111" s="221"/>
      <c r="AF111" s="222"/>
      <c r="AG111" s="220" t="str">
        <f>'Data Sheet - SITE'!M127</f>
        <v>D</v>
      </c>
      <c r="AH111" s="221"/>
      <c r="AI111" s="221"/>
      <c r="AJ111" s="221"/>
    </row>
    <row r="112" spans="1:36" ht="14.25" customHeight="1" x14ac:dyDescent="0.25">
      <c r="A112" s="143"/>
      <c r="B112" s="121"/>
      <c r="C112" s="263" t="s">
        <v>147</v>
      </c>
      <c r="D112" s="263"/>
      <c r="E112" s="263"/>
      <c r="F112" s="263"/>
      <c r="G112" s="263"/>
      <c r="H112" s="263"/>
      <c r="I112" s="263"/>
      <c r="J112" s="269" t="s">
        <v>149</v>
      </c>
      <c r="K112" s="269"/>
      <c r="L112" s="269"/>
      <c r="M112" s="269"/>
      <c r="N112" s="42"/>
      <c r="O112" s="270" t="s">
        <v>150</v>
      </c>
      <c r="P112" s="270"/>
      <c r="Q112" s="270"/>
      <c r="R112" s="270"/>
      <c r="S112" s="40"/>
      <c r="U112" s="220">
        <f>'Data Sheet - SITE'!A128</f>
        <v>29</v>
      </c>
      <c r="V112" s="221"/>
      <c r="W112" s="222"/>
      <c r="X112" s="220">
        <f>'Data Sheet - SITE'!D128</f>
        <v>10.1</v>
      </c>
      <c r="Y112" s="221"/>
      <c r="Z112" s="222"/>
      <c r="AA112" s="220" t="str">
        <f>'Data Sheet - SITE'!G128</f>
        <v>I</v>
      </c>
      <c r="AB112" s="221"/>
      <c r="AC112" s="222"/>
      <c r="AD112" s="220" t="str">
        <f>'Data Sheet - SITE'!J128</f>
        <v>G</v>
      </c>
      <c r="AE112" s="221"/>
      <c r="AF112" s="222"/>
      <c r="AG112" s="220" t="str">
        <f>'Data Sheet - SITE'!M128</f>
        <v>D</v>
      </c>
      <c r="AH112" s="221"/>
      <c r="AI112" s="221"/>
      <c r="AJ112" s="221"/>
    </row>
    <row r="113" spans="1:36" ht="14.25" customHeight="1" x14ac:dyDescent="0.25">
      <c r="A113" s="143"/>
      <c r="B113" s="121"/>
      <c r="C113" s="285" t="s">
        <v>57</v>
      </c>
      <c r="D113" s="285"/>
      <c r="E113" s="285"/>
      <c r="F113" s="285"/>
      <c r="G113" s="285"/>
      <c r="H113" s="285"/>
      <c r="I113" s="285"/>
      <c r="J113" s="246">
        <f>'Data Sheet - SITE'!Y99</f>
        <v>8.1</v>
      </c>
      <c r="K113" s="246"/>
      <c r="L113" s="246"/>
      <c r="M113" s="247"/>
      <c r="N113" s="51" t="str">
        <f>'Data Sheet - SITE'!AC99</f>
        <v>R</v>
      </c>
      <c r="O113" s="219">
        <f>'Data Sheet - SITE'!AD99</f>
        <v>8.7899999999999991</v>
      </c>
      <c r="P113" s="219"/>
      <c r="Q113" s="219"/>
      <c r="R113" s="219"/>
      <c r="S113" s="52" t="str">
        <f>'Data Sheet - SITE'!AH99</f>
        <v>D</v>
      </c>
      <c r="U113" s="220">
        <f>'Data Sheet - SITE'!A129</f>
        <v>73</v>
      </c>
      <c r="V113" s="221"/>
      <c r="W113" s="222"/>
      <c r="X113" s="220">
        <f>'Data Sheet - SITE'!D129</f>
        <v>10.65</v>
      </c>
      <c r="Y113" s="221"/>
      <c r="Z113" s="222"/>
      <c r="AA113" s="220" t="str">
        <f>'Data Sheet - SITE'!G129</f>
        <v>I</v>
      </c>
      <c r="AB113" s="221"/>
      <c r="AC113" s="222"/>
      <c r="AD113" s="220" t="str">
        <f>'Data Sheet - SITE'!J129</f>
        <v>G</v>
      </c>
      <c r="AE113" s="221"/>
      <c r="AF113" s="222"/>
      <c r="AG113" s="220" t="str">
        <f>'Data Sheet - SITE'!M129</f>
        <v>R</v>
      </c>
      <c r="AH113" s="221"/>
      <c r="AI113" s="221"/>
      <c r="AJ113" s="221"/>
    </row>
    <row r="114" spans="1:36" ht="14.25" customHeight="1" x14ac:dyDescent="0.25">
      <c r="A114" s="143"/>
      <c r="B114" s="121"/>
      <c r="C114" s="285" t="s">
        <v>58</v>
      </c>
      <c r="D114" s="285"/>
      <c r="E114" s="285"/>
      <c r="F114" s="285"/>
      <c r="G114" s="285"/>
      <c r="H114" s="285"/>
      <c r="I114" s="285"/>
      <c r="J114" s="246">
        <f>'Data Sheet - SITE'!Y100</f>
        <v>6.13</v>
      </c>
      <c r="K114" s="246"/>
      <c r="L114" s="246"/>
      <c r="M114" s="247"/>
      <c r="N114" s="51" t="str">
        <f>'Data Sheet - SITE'!AC100</f>
        <v>R</v>
      </c>
      <c r="O114" s="219">
        <f>'Data Sheet - SITE'!AD100</f>
        <v>6.34</v>
      </c>
      <c r="P114" s="219"/>
      <c r="Q114" s="219"/>
      <c r="R114" s="219"/>
      <c r="S114" s="52" t="str">
        <f>'Data Sheet - SITE'!AH100</f>
        <v>D</v>
      </c>
      <c r="U114" s="220">
        <f>'Data Sheet - SITE'!A130</f>
        <v>75</v>
      </c>
      <c r="V114" s="221"/>
      <c r="W114" s="222"/>
      <c r="X114" s="220">
        <f>'Data Sheet - SITE'!D130</f>
        <v>10.64</v>
      </c>
      <c r="Y114" s="221"/>
      <c r="Z114" s="222"/>
      <c r="AA114" s="220" t="str">
        <f>'Data Sheet - SITE'!G130</f>
        <v>GC</v>
      </c>
      <c r="AB114" s="221"/>
      <c r="AC114" s="222"/>
      <c r="AD114" s="220" t="str">
        <f>'Data Sheet - SITE'!J130</f>
        <v>G</v>
      </c>
      <c r="AE114" s="221"/>
      <c r="AF114" s="222"/>
      <c r="AG114" s="220" t="str">
        <f>'Data Sheet - SITE'!M130</f>
        <v>R</v>
      </c>
      <c r="AH114" s="221"/>
      <c r="AI114" s="221"/>
      <c r="AJ114" s="221"/>
    </row>
    <row r="115" spans="1:36" ht="14.25" customHeight="1" x14ac:dyDescent="0.25">
      <c r="A115" s="143"/>
      <c r="B115" s="121"/>
      <c r="C115" s="610" t="s">
        <v>59</v>
      </c>
      <c r="D115" s="610"/>
      <c r="E115" s="610"/>
      <c r="F115" s="610"/>
      <c r="G115" s="610"/>
      <c r="H115" s="610"/>
      <c r="I115" s="610"/>
      <c r="J115" s="246">
        <f>'Data Sheet - SITE'!Y101</f>
        <v>9</v>
      </c>
      <c r="K115" s="246"/>
      <c r="L115" s="246"/>
      <c r="M115" s="247"/>
      <c r="N115" s="51" t="str">
        <f>'Data Sheet - SITE'!AC101</f>
        <v>R</v>
      </c>
      <c r="O115" s="219">
        <f>'Data Sheet - SITE'!AD101</f>
        <v>8.59</v>
      </c>
      <c r="P115" s="219"/>
      <c r="Q115" s="219"/>
      <c r="R115" s="219"/>
      <c r="S115" s="52" t="str">
        <f>'Data Sheet - SITE'!AH101</f>
        <v>D</v>
      </c>
      <c r="U115" s="220">
        <f>'Data Sheet - SITE'!A131</f>
        <v>77</v>
      </c>
      <c r="V115" s="221"/>
      <c r="W115" s="222"/>
      <c r="X115" s="220">
        <f>'Data Sheet - SITE'!D131</f>
        <v>10.76</v>
      </c>
      <c r="Y115" s="221"/>
      <c r="Z115" s="222"/>
      <c r="AA115" s="220" t="str">
        <f>'Data Sheet - SITE'!G131</f>
        <v>P</v>
      </c>
      <c r="AB115" s="221"/>
      <c r="AC115" s="222"/>
      <c r="AD115" s="220" t="str">
        <f>'Data Sheet - SITE'!J131</f>
        <v>G</v>
      </c>
      <c r="AE115" s="221"/>
      <c r="AF115" s="222"/>
      <c r="AG115" s="220" t="str">
        <f>'Data Sheet - SITE'!M131</f>
        <v>R</v>
      </c>
      <c r="AH115" s="221"/>
      <c r="AI115" s="221"/>
      <c r="AJ115" s="221"/>
    </row>
    <row r="116" spans="1:36" ht="14.25" customHeight="1" x14ac:dyDescent="0.25">
      <c r="A116" s="143"/>
      <c r="B116" s="121"/>
      <c r="C116" s="610" t="s">
        <v>148</v>
      </c>
      <c r="D116" s="610"/>
      <c r="E116" s="610"/>
      <c r="F116" s="610"/>
      <c r="G116" s="610"/>
      <c r="H116" s="610"/>
      <c r="I116" s="610"/>
      <c r="J116" s="246">
        <f>'Data Sheet - SITE'!Y102</f>
        <v>5.89</v>
      </c>
      <c r="K116" s="246"/>
      <c r="L116" s="246"/>
      <c r="M116" s="247"/>
      <c r="N116" s="51" t="str">
        <f>'Data Sheet - SITE'!AC102</f>
        <v>R</v>
      </c>
      <c r="O116" s="219">
        <f>'Data Sheet - SITE'!AD102</f>
        <v>5.22</v>
      </c>
      <c r="P116" s="219"/>
      <c r="Q116" s="219"/>
      <c r="R116" s="219"/>
      <c r="S116" s="52" t="str">
        <f>'Data Sheet - SITE'!AH102</f>
        <v>D</v>
      </c>
      <c r="U116" s="220">
        <f>'Data Sheet - SITE'!A132</f>
        <v>83</v>
      </c>
      <c r="V116" s="221"/>
      <c r="W116" s="222"/>
      <c r="X116" s="220">
        <f>'Data Sheet - SITE'!D132</f>
        <v>9.65</v>
      </c>
      <c r="Y116" s="221"/>
      <c r="Z116" s="222"/>
      <c r="AA116" s="220" t="str">
        <f>'Data Sheet - SITE'!G132</f>
        <v>HC</v>
      </c>
      <c r="AB116" s="221"/>
      <c r="AC116" s="222"/>
      <c r="AD116" s="220" t="str">
        <f>'Data Sheet - SITE'!J132</f>
        <v>C/S</v>
      </c>
      <c r="AE116" s="221"/>
      <c r="AF116" s="222"/>
      <c r="AG116" s="220" t="str">
        <f>'Data Sheet - SITE'!M132</f>
        <v>R</v>
      </c>
      <c r="AH116" s="221"/>
      <c r="AI116" s="221"/>
      <c r="AJ116" s="221"/>
    </row>
    <row r="117" spans="1:36" ht="14.25" customHeight="1" x14ac:dyDescent="0.25">
      <c r="A117" s="143"/>
      <c r="B117" s="121"/>
      <c r="C117" s="259" t="s">
        <v>233</v>
      </c>
      <c r="D117" s="259"/>
      <c r="E117" s="259"/>
      <c r="F117" s="259"/>
      <c r="G117" s="259"/>
      <c r="H117" s="259"/>
      <c r="I117" s="259"/>
      <c r="J117" s="246">
        <f>'Data Sheet - SITE'!Y103</f>
        <v>8.6300000000000008</v>
      </c>
      <c r="K117" s="246"/>
      <c r="L117" s="246"/>
      <c r="M117" s="247"/>
      <c r="N117" s="51" t="str">
        <f>'Data Sheet - SITE'!AC103</f>
        <v>R</v>
      </c>
      <c r="O117" s="219">
        <f>'Data Sheet - SITE'!AD103</f>
        <v>9.39</v>
      </c>
      <c r="P117" s="219"/>
      <c r="Q117" s="219"/>
      <c r="R117" s="219"/>
      <c r="S117" s="52" t="str">
        <f>'Data Sheet - SITE'!AH103</f>
        <v>D</v>
      </c>
      <c r="U117" s="220">
        <f>'Data Sheet - SITE'!A133</f>
        <v>115</v>
      </c>
      <c r="V117" s="221"/>
      <c r="W117" s="222"/>
      <c r="X117" s="220">
        <f>'Data Sheet - SITE'!D133</f>
        <v>10.42</v>
      </c>
      <c r="Y117" s="221"/>
      <c r="Z117" s="222"/>
      <c r="AA117" s="220" t="str">
        <f>'Data Sheet - SITE'!G133</f>
        <v>HC</v>
      </c>
      <c r="AB117" s="221"/>
      <c r="AC117" s="222"/>
      <c r="AD117" s="220" t="str">
        <f>'Data Sheet - SITE'!J133</f>
        <v>C/S</v>
      </c>
      <c r="AE117" s="221"/>
      <c r="AF117" s="222"/>
      <c r="AG117" s="220" t="str">
        <f>'Data Sheet - SITE'!M133</f>
        <v>R</v>
      </c>
      <c r="AH117" s="221"/>
      <c r="AI117" s="221"/>
      <c r="AJ117" s="221"/>
    </row>
    <row r="118" spans="1:36" ht="14.25" customHeight="1" x14ac:dyDescent="0.25">
      <c r="A118" s="143"/>
      <c r="B118" s="121"/>
      <c r="C118" s="259" t="s">
        <v>234</v>
      </c>
      <c r="D118" s="259"/>
      <c r="E118" s="259"/>
      <c r="F118" s="259"/>
      <c r="G118" s="259"/>
      <c r="H118" s="259"/>
      <c r="I118" s="259"/>
      <c r="J118" s="246">
        <f>'Data Sheet - SITE'!Y104</f>
        <v>9.17</v>
      </c>
      <c r="K118" s="246"/>
      <c r="L118" s="246"/>
      <c r="M118" s="247"/>
      <c r="N118" s="51" t="str">
        <f>'Data Sheet - SITE'!AC104</f>
        <v>R</v>
      </c>
      <c r="O118" s="219">
        <f>'Data Sheet - SITE'!AD104</f>
        <v>9.8000000000000007</v>
      </c>
      <c r="P118" s="219"/>
      <c r="Q118" s="219"/>
      <c r="R118" s="219"/>
      <c r="S118" s="52" t="str">
        <f>'Data Sheet - SITE'!AH104</f>
        <v>D</v>
      </c>
      <c r="U118" s="220">
        <f>'Data Sheet - SITE'!A134</f>
        <v>0</v>
      </c>
      <c r="V118" s="221"/>
      <c r="W118" s="222"/>
      <c r="X118" s="220">
        <f>'Data Sheet - SITE'!D134</f>
        <v>0</v>
      </c>
      <c r="Y118" s="221"/>
      <c r="Z118" s="222"/>
      <c r="AA118" s="220">
        <f>'Data Sheet - SITE'!G134</f>
        <v>0</v>
      </c>
      <c r="AB118" s="221"/>
      <c r="AC118" s="222"/>
      <c r="AD118" s="220">
        <f>'Data Sheet - SITE'!J134</f>
        <v>0</v>
      </c>
      <c r="AE118" s="221"/>
      <c r="AF118" s="222"/>
      <c r="AG118" s="220">
        <f>'Data Sheet - SITE'!M134</f>
        <v>0</v>
      </c>
      <c r="AH118" s="221"/>
      <c r="AI118" s="221"/>
      <c r="AJ118" s="221"/>
    </row>
    <row r="119" spans="1:36" ht="14.25" customHeight="1" x14ac:dyDescent="0.25">
      <c r="A119" s="143"/>
      <c r="B119" s="121"/>
      <c r="C119" s="259" t="s">
        <v>235</v>
      </c>
      <c r="D119" s="259"/>
      <c r="E119" s="259"/>
      <c r="F119" s="259"/>
      <c r="G119" s="259"/>
      <c r="H119" s="259"/>
      <c r="I119" s="259"/>
      <c r="J119" s="246">
        <f>'Data Sheet - SITE'!Y105</f>
        <v>8.9600000000000009</v>
      </c>
      <c r="K119" s="246"/>
      <c r="L119" s="246"/>
      <c r="M119" s="247"/>
      <c r="N119" s="51" t="str">
        <f>'Data Sheet - SITE'!AC105</f>
        <v>R</v>
      </c>
      <c r="O119" s="219">
        <f>'Data Sheet - SITE'!AD105</f>
        <v>8.35</v>
      </c>
      <c r="P119" s="219"/>
      <c r="Q119" s="219"/>
      <c r="R119" s="219"/>
      <c r="S119" s="52" t="str">
        <f>'Data Sheet - SITE'!AH105</f>
        <v>D</v>
      </c>
      <c r="U119" s="220">
        <f>'Data Sheet - SITE'!A135</f>
        <v>0</v>
      </c>
      <c r="V119" s="221"/>
      <c r="W119" s="222"/>
      <c r="X119" s="220">
        <f>'Data Sheet - SITE'!D135</f>
        <v>0</v>
      </c>
      <c r="Y119" s="221"/>
      <c r="Z119" s="222"/>
      <c r="AA119" s="220">
        <f>'Data Sheet - SITE'!G135</f>
        <v>0</v>
      </c>
      <c r="AB119" s="221"/>
      <c r="AC119" s="222"/>
      <c r="AD119" s="220">
        <f>'Data Sheet - SITE'!J135</f>
        <v>0</v>
      </c>
      <c r="AE119" s="221"/>
      <c r="AF119" s="222"/>
      <c r="AG119" s="220">
        <f>'Data Sheet - SITE'!M135</f>
        <v>0</v>
      </c>
      <c r="AH119" s="221"/>
      <c r="AI119" s="221"/>
      <c r="AJ119" s="221"/>
    </row>
    <row r="120" spans="1:36" ht="14.25" customHeight="1" x14ac:dyDescent="0.25">
      <c r="A120" s="143"/>
      <c r="B120" s="121"/>
      <c r="C120" s="259" t="s">
        <v>236</v>
      </c>
      <c r="D120" s="259"/>
      <c r="E120" s="259"/>
      <c r="F120" s="259"/>
      <c r="G120" s="259"/>
      <c r="H120" s="259"/>
      <c r="I120" s="259"/>
      <c r="J120" s="246">
        <f>'Data Sheet - SITE'!Y106</f>
        <v>8.82</v>
      </c>
      <c r="K120" s="246"/>
      <c r="L120" s="246"/>
      <c r="M120" s="247"/>
      <c r="N120" s="51" t="str">
        <f>'Data Sheet - SITE'!AC106</f>
        <v>R</v>
      </c>
      <c r="O120" s="219">
        <f>'Data Sheet - SITE'!AD106</f>
        <v>8.9</v>
      </c>
      <c r="P120" s="219"/>
      <c r="Q120" s="219"/>
      <c r="R120" s="219"/>
      <c r="S120" s="52" t="str">
        <f>'Data Sheet - SITE'!AH106</f>
        <v>D</v>
      </c>
      <c r="U120" s="220">
        <f>'Data Sheet - SITE'!A136</f>
        <v>0</v>
      </c>
      <c r="V120" s="221"/>
      <c r="W120" s="222"/>
      <c r="X120" s="220">
        <f>'Data Sheet - SITE'!D136</f>
        <v>0</v>
      </c>
      <c r="Y120" s="221"/>
      <c r="Z120" s="222"/>
      <c r="AA120" s="220">
        <f>'Data Sheet - SITE'!G136</f>
        <v>0</v>
      </c>
      <c r="AB120" s="221"/>
      <c r="AC120" s="222"/>
      <c r="AD120" s="220">
        <f>'Data Sheet - SITE'!J136</f>
        <v>0</v>
      </c>
      <c r="AE120" s="221"/>
      <c r="AF120" s="222"/>
      <c r="AG120" s="220">
        <f>'Data Sheet - SITE'!M136</f>
        <v>0</v>
      </c>
      <c r="AH120" s="221"/>
      <c r="AI120" s="221"/>
      <c r="AJ120" s="221"/>
    </row>
    <row r="121" spans="1:36" ht="14.25" customHeight="1" x14ac:dyDescent="0.25">
      <c r="A121" s="143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42"/>
      <c r="U121" s="220">
        <f>'Data Sheet - SITE'!A137</f>
        <v>0</v>
      </c>
      <c r="V121" s="221"/>
      <c r="W121" s="222"/>
      <c r="X121" s="220">
        <f>'Data Sheet - SITE'!D137</f>
        <v>0</v>
      </c>
      <c r="Y121" s="221"/>
      <c r="Z121" s="222"/>
      <c r="AA121" s="220">
        <f>'Data Sheet - SITE'!G137</f>
        <v>0</v>
      </c>
      <c r="AB121" s="221"/>
      <c r="AC121" s="222"/>
      <c r="AD121" s="220">
        <f>'Data Sheet - SITE'!J137</f>
        <v>0</v>
      </c>
      <c r="AE121" s="221"/>
      <c r="AF121" s="222"/>
      <c r="AG121" s="220">
        <f>'Data Sheet - SITE'!M137</f>
        <v>0</v>
      </c>
      <c r="AH121" s="221"/>
      <c r="AI121" s="221"/>
      <c r="AJ121" s="221"/>
    </row>
    <row r="122" spans="1:36" ht="14.25" customHeight="1" x14ac:dyDescent="0.25">
      <c r="A122" s="143"/>
      <c r="B122" s="121"/>
      <c r="C122" s="248" t="s">
        <v>152</v>
      </c>
      <c r="D122" s="248"/>
      <c r="E122" s="248"/>
      <c r="F122" s="248"/>
      <c r="G122" s="248"/>
      <c r="H122" s="248"/>
      <c r="I122" s="248"/>
      <c r="J122" s="245" t="s">
        <v>149</v>
      </c>
      <c r="K122" s="245"/>
      <c r="L122" s="245"/>
      <c r="M122" s="245"/>
      <c r="N122" s="48"/>
      <c r="O122" s="245" t="s">
        <v>150</v>
      </c>
      <c r="P122" s="245"/>
      <c r="Q122" s="245"/>
      <c r="R122" s="245"/>
      <c r="S122" s="48"/>
      <c r="U122" s="220">
        <f>'Data Sheet - SITE'!A138</f>
        <v>0</v>
      </c>
      <c r="V122" s="221"/>
      <c r="W122" s="222"/>
      <c r="X122" s="220">
        <f>'Data Sheet - SITE'!D138</f>
        <v>0</v>
      </c>
      <c r="Y122" s="221"/>
      <c r="Z122" s="222"/>
      <c r="AA122" s="220">
        <f>'Data Sheet - SITE'!G138</f>
        <v>0</v>
      </c>
      <c r="AB122" s="221"/>
      <c r="AC122" s="222"/>
      <c r="AD122" s="220">
        <f>'Data Sheet - SITE'!J138</f>
        <v>0</v>
      </c>
      <c r="AE122" s="221"/>
      <c r="AF122" s="222"/>
      <c r="AG122" s="220">
        <f>'Data Sheet - SITE'!M138</f>
        <v>0</v>
      </c>
      <c r="AH122" s="221"/>
      <c r="AI122" s="221"/>
      <c r="AJ122" s="221"/>
    </row>
    <row r="123" spans="1:36" ht="14.25" customHeight="1" x14ac:dyDescent="0.25">
      <c r="A123" s="143"/>
      <c r="B123" s="121"/>
      <c r="C123" s="242" t="s">
        <v>60</v>
      </c>
      <c r="D123" s="242"/>
      <c r="E123" s="242"/>
      <c r="F123" s="242"/>
      <c r="G123" s="242"/>
      <c r="H123" s="242"/>
      <c r="I123" s="242"/>
      <c r="J123" s="243">
        <f>'Data Sheet - SITE'!Y110</f>
        <v>0</v>
      </c>
      <c r="K123" s="243"/>
      <c r="L123" s="243"/>
      <c r="M123" s="244"/>
      <c r="N123" s="138">
        <f>'Data Sheet - SITE'!AC110</f>
        <v>0</v>
      </c>
      <c r="O123" s="243">
        <f>'Data Sheet - SITE'!AD110</f>
        <v>0</v>
      </c>
      <c r="P123" s="243"/>
      <c r="Q123" s="243"/>
      <c r="R123" s="243"/>
      <c r="S123" s="138">
        <f>'Data Sheet - SITE'!AH110</f>
        <v>0</v>
      </c>
      <c r="U123" s="220">
        <f>'Data Sheet - SITE'!A139</f>
        <v>0</v>
      </c>
      <c r="V123" s="221"/>
      <c r="W123" s="222"/>
      <c r="X123" s="220">
        <f>'Data Sheet - SITE'!D139</f>
        <v>0</v>
      </c>
      <c r="Y123" s="221"/>
      <c r="Z123" s="222"/>
      <c r="AA123" s="220">
        <f>'Data Sheet - SITE'!G139</f>
        <v>0</v>
      </c>
      <c r="AB123" s="221"/>
      <c r="AC123" s="222"/>
      <c r="AD123" s="220">
        <f>'Data Sheet - SITE'!J139</f>
        <v>0</v>
      </c>
      <c r="AE123" s="221"/>
      <c r="AF123" s="222"/>
      <c r="AG123" s="220">
        <f>'Data Sheet - SITE'!M139</f>
        <v>0</v>
      </c>
      <c r="AH123" s="221"/>
      <c r="AI123" s="221"/>
      <c r="AJ123" s="221"/>
    </row>
    <row r="124" spans="1:36" ht="14.25" customHeight="1" thickBot="1" x14ac:dyDescent="0.3">
      <c r="A124" s="144"/>
      <c r="B124" s="145"/>
      <c r="C124" s="242" t="s">
        <v>61</v>
      </c>
      <c r="D124" s="242"/>
      <c r="E124" s="242"/>
      <c r="F124" s="242"/>
      <c r="G124" s="242"/>
      <c r="H124" s="242"/>
      <c r="I124" s="242"/>
      <c r="J124" s="226">
        <f>'Data Sheet - SITE'!Y111</f>
        <v>0</v>
      </c>
      <c r="K124" s="226"/>
      <c r="L124" s="226"/>
      <c r="M124" s="249"/>
      <c r="N124" s="139">
        <f>'Data Sheet - SITE'!AC111</f>
        <v>0</v>
      </c>
      <c r="O124" s="226">
        <f>'Data Sheet - SITE'!AD111</f>
        <v>0</v>
      </c>
      <c r="P124" s="226"/>
      <c r="Q124" s="226"/>
      <c r="R124" s="226"/>
      <c r="S124" s="139">
        <f>'Data Sheet - SITE'!AH111</f>
        <v>0</v>
      </c>
      <c r="U124" s="407">
        <f>'Data Sheet - SITE'!A140</f>
        <v>0</v>
      </c>
      <c r="V124" s="408"/>
      <c r="W124" s="409"/>
      <c r="X124" s="407">
        <f>'Data Sheet - SITE'!D140</f>
        <v>0</v>
      </c>
      <c r="Y124" s="408"/>
      <c r="Z124" s="409"/>
      <c r="AA124" s="407">
        <f>'Data Sheet - SITE'!G140</f>
        <v>0</v>
      </c>
      <c r="AB124" s="408"/>
      <c r="AC124" s="409"/>
      <c r="AD124" s="407">
        <f>'Data Sheet - SITE'!J140</f>
        <v>0</v>
      </c>
      <c r="AE124" s="408"/>
      <c r="AF124" s="409"/>
      <c r="AG124" s="407">
        <f>'Data Sheet - SITE'!M140</f>
        <v>0</v>
      </c>
      <c r="AH124" s="408"/>
      <c r="AI124" s="408"/>
      <c r="AJ124" s="408"/>
    </row>
  </sheetData>
  <mergeCells count="406">
    <mergeCell ref="M58:O58"/>
    <mergeCell ref="AF48:AG48"/>
    <mergeCell ref="AF47:AG47"/>
    <mergeCell ref="AF46:AG46"/>
    <mergeCell ref="M103:O103"/>
    <mergeCell ref="U59:AJ59"/>
    <mergeCell ref="AA67:AC67"/>
    <mergeCell ref="AG72:AJ72"/>
    <mergeCell ref="AD73:AF73"/>
    <mergeCell ref="AG73:AJ73"/>
    <mergeCell ref="AG75:AJ75"/>
    <mergeCell ref="AA77:AC77"/>
    <mergeCell ref="AD77:AF77"/>
    <mergeCell ref="X85:Y85"/>
    <mergeCell ref="Z85:AA85"/>
    <mergeCell ref="X83:AA84"/>
    <mergeCell ref="AG76:AJ76"/>
    <mergeCell ref="AG77:AJ77"/>
    <mergeCell ref="AA78:AC78"/>
    <mergeCell ref="AH51:AJ51"/>
    <mergeCell ref="AD51:AE51"/>
    <mergeCell ref="AF49:AG49"/>
    <mergeCell ref="AF50:AG50"/>
    <mergeCell ref="AD50:AE50"/>
    <mergeCell ref="AB38:AC38"/>
    <mergeCell ref="AB37:AC37"/>
    <mergeCell ref="AB36:AC36"/>
    <mergeCell ref="AB35:AC35"/>
    <mergeCell ref="AD34:AE34"/>
    <mergeCell ref="AH43:AJ43"/>
    <mergeCell ref="AB42:AC42"/>
    <mergeCell ref="AB41:AC41"/>
    <mergeCell ref="AB40:AC40"/>
    <mergeCell ref="AB44:AC44"/>
    <mergeCell ref="AB43:AC43"/>
    <mergeCell ref="AD43:AE43"/>
    <mergeCell ref="AD42:AE42"/>
    <mergeCell ref="AD41:AE41"/>
    <mergeCell ref="AD40:AE40"/>
    <mergeCell ref="AH45:AJ45"/>
    <mergeCell ref="AH44:AJ44"/>
    <mergeCell ref="AB39:AC39"/>
    <mergeCell ref="AF51:AG51"/>
    <mergeCell ref="N24:Q24"/>
    <mergeCell ref="AF34:AG34"/>
    <mergeCell ref="AH34:AJ34"/>
    <mergeCell ref="AB48:AC48"/>
    <mergeCell ref="AB49:AC49"/>
    <mergeCell ref="AD49:AE49"/>
    <mergeCell ref="AD35:AE35"/>
    <mergeCell ref="AD36:AE36"/>
    <mergeCell ref="AD37:AE37"/>
    <mergeCell ref="AD38:AE38"/>
    <mergeCell ref="AD39:AE39"/>
    <mergeCell ref="AF40:AG40"/>
    <mergeCell ref="AF41:AG41"/>
    <mergeCell ref="AF42:AG42"/>
    <mergeCell ref="AF43:AG43"/>
    <mergeCell ref="AH46:AJ46"/>
    <mergeCell ref="AH47:AJ47"/>
    <mergeCell ref="AF39:AG39"/>
    <mergeCell ref="AH48:AJ48"/>
    <mergeCell ref="AH49:AJ49"/>
    <mergeCell ref="AB34:AC34"/>
    <mergeCell ref="AB47:AC47"/>
    <mergeCell ref="AB46:AC46"/>
    <mergeCell ref="N33:Q33"/>
    <mergeCell ref="A36:AA50"/>
    <mergeCell ref="AH50:AJ50"/>
    <mergeCell ref="AF38:AG38"/>
    <mergeCell ref="AF37:AG37"/>
    <mergeCell ref="AF36:AG36"/>
    <mergeCell ref="AF35:AG35"/>
    <mergeCell ref="AH42:AJ42"/>
    <mergeCell ref="AH41:AJ41"/>
    <mergeCell ref="AH40:AJ40"/>
    <mergeCell ref="AH39:AJ39"/>
    <mergeCell ref="AH38:AJ38"/>
    <mergeCell ref="AH37:AJ37"/>
    <mergeCell ref="AH36:AJ36"/>
    <mergeCell ref="AH35:AJ35"/>
    <mergeCell ref="AF45:AG45"/>
    <mergeCell ref="AF44:AG44"/>
    <mergeCell ref="AD48:AE48"/>
    <mergeCell ref="AD47:AE47"/>
    <mergeCell ref="AD46:AE46"/>
    <mergeCell ref="AD45:AE45"/>
    <mergeCell ref="AD44:AE44"/>
    <mergeCell ref="AB33:AJ33"/>
    <mergeCell ref="AB45:AC45"/>
    <mergeCell ref="N12:Q12"/>
    <mergeCell ref="N14:Q14"/>
    <mergeCell ref="S13:Z13"/>
    <mergeCell ref="AB13:AJ13"/>
    <mergeCell ref="AB14:AJ20"/>
    <mergeCell ref="S14:Z20"/>
    <mergeCell ref="N17:Q17"/>
    <mergeCell ref="N19:Q19"/>
    <mergeCell ref="N15:O15"/>
    <mergeCell ref="P15:Q15"/>
    <mergeCell ref="A9:F9"/>
    <mergeCell ref="G9:T9"/>
    <mergeCell ref="V9:Z9"/>
    <mergeCell ref="AA9:AD9"/>
    <mergeCell ref="AE9:AH9"/>
    <mergeCell ref="V10:Z10"/>
    <mergeCell ref="AA10:AD10"/>
    <mergeCell ref="AE10:AH10"/>
    <mergeCell ref="V11:Z11"/>
    <mergeCell ref="AA11:AH11"/>
    <mergeCell ref="N11:Q11"/>
    <mergeCell ref="V5:Y5"/>
    <mergeCell ref="Z5:AH5"/>
    <mergeCell ref="V6:Y6"/>
    <mergeCell ref="Z6:AH6"/>
    <mergeCell ref="A7:F7"/>
    <mergeCell ref="G7:T7"/>
    <mergeCell ref="V7:Y7"/>
    <mergeCell ref="Z7:AH7"/>
    <mergeCell ref="A8:F8"/>
    <mergeCell ref="G8:T8"/>
    <mergeCell ref="V8:Z8"/>
    <mergeCell ref="AA8:AD8"/>
    <mergeCell ref="AE8:AH8"/>
    <mergeCell ref="F79:H79"/>
    <mergeCell ref="A1:AJ3"/>
    <mergeCell ref="A102:AJ102"/>
    <mergeCell ref="F85:G85"/>
    <mergeCell ref="U79:W79"/>
    <mergeCell ref="X79:Z79"/>
    <mergeCell ref="AA79:AC79"/>
    <mergeCell ref="AD79:AF79"/>
    <mergeCell ref="AG79:AJ79"/>
    <mergeCell ref="V54:X54"/>
    <mergeCell ref="T83:W84"/>
    <mergeCell ref="T85:U85"/>
    <mergeCell ref="AF54:AH54"/>
    <mergeCell ref="AF55:AH55"/>
    <mergeCell ref="AA62:AC62"/>
    <mergeCell ref="AD62:AF62"/>
    <mergeCell ref="AA64:AC64"/>
    <mergeCell ref="AD64:AF64"/>
    <mergeCell ref="AG64:AJ64"/>
    <mergeCell ref="C62:R62"/>
    <mergeCell ref="G4:K4"/>
    <mergeCell ref="L4:AA4"/>
    <mergeCell ref="A5:F6"/>
    <mergeCell ref="G5:T6"/>
    <mergeCell ref="AG116:AJ116"/>
    <mergeCell ref="U117:W117"/>
    <mergeCell ref="X117:Z117"/>
    <mergeCell ref="AA117:AC117"/>
    <mergeCell ref="AD117:AF117"/>
    <mergeCell ref="AG109:AJ109"/>
    <mergeCell ref="U110:W110"/>
    <mergeCell ref="X110:Z110"/>
    <mergeCell ref="AA110:AC110"/>
    <mergeCell ref="AD110:AF110"/>
    <mergeCell ref="AG110:AJ110"/>
    <mergeCell ref="U111:W111"/>
    <mergeCell ref="X111:Z111"/>
    <mergeCell ref="AA111:AC111"/>
    <mergeCell ref="AG113:AJ113"/>
    <mergeCell ref="U114:W114"/>
    <mergeCell ref="X114:Z114"/>
    <mergeCell ref="AA114:AC114"/>
    <mergeCell ref="AD114:AF114"/>
    <mergeCell ref="AG114:AJ114"/>
    <mergeCell ref="U115:W115"/>
    <mergeCell ref="X115:Z115"/>
    <mergeCell ref="AA115:AC115"/>
    <mergeCell ref="AG117:AJ117"/>
    <mergeCell ref="C122:I122"/>
    <mergeCell ref="J122:M122"/>
    <mergeCell ref="O122:R122"/>
    <mergeCell ref="U113:W113"/>
    <mergeCell ref="X113:Z113"/>
    <mergeCell ref="AA113:AC113"/>
    <mergeCell ref="O120:R120"/>
    <mergeCell ref="C117:I117"/>
    <mergeCell ref="J117:M117"/>
    <mergeCell ref="C113:I113"/>
    <mergeCell ref="J113:M113"/>
    <mergeCell ref="U121:W121"/>
    <mergeCell ref="X121:Z121"/>
    <mergeCell ref="AA121:AC121"/>
    <mergeCell ref="C124:I124"/>
    <mergeCell ref="J124:M124"/>
    <mergeCell ref="O124:R124"/>
    <mergeCell ref="O117:R117"/>
    <mergeCell ref="C118:I118"/>
    <mergeCell ref="J118:M118"/>
    <mergeCell ref="C114:I114"/>
    <mergeCell ref="J114:M114"/>
    <mergeCell ref="O114:R114"/>
    <mergeCell ref="C115:I115"/>
    <mergeCell ref="J115:M115"/>
    <mergeCell ref="O115:R115"/>
    <mergeCell ref="C123:I123"/>
    <mergeCell ref="J123:M123"/>
    <mergeCell ref="O123:R123"/>
    <mergeCell ref="O118:R118"/>
    <mergeCell ref="C119:I119"/>
    <mergeCell ref="J119:M119"/>
    <mergeCell ref="O119:R119"/>
    <mergeCell ref="C120:I120"/>
    <mergeCell ref="J120:M120"/>
    <mergeCell ref="C116:I116"/>
    <mergeCell ref="J116:M116"/>
    <mergeCell ref="O116:R116"/>
    <mergeCell ref="J108:M108"/>
    <mergeCell ref="O108:R108"/>
    <mergeCell ref="M104:O104"/>
    <mergeCell ref="AG108:AJ108"/>
    <mergeCell ref="U105:AJ105"/>
    <mergeCell ref="U106:W107"/>
    <mergeCell ref="X106:Z107"/>
    <mergeCell ref="AA106:AC107"/>
    <mergeCell ref="AD106:AF107"/>
    <mergeCell ref="AG106:AJ107"/>
    <mergeCell ref="AD111:AF111"/>
    <mergeCell ref="AG111:AJ111"/>
    <mergeCell ref="U112:W112"/>
    <mergeCell ref="X112:Z112"/>
    <mergeCell ref="AA112:AC112"/>
    <mergeCell ref="AD112:AF112"/>
    <mergeCell ref="AG112:AJ112"/>
    <mergeCell ref="U109:W109"/>
    <mergeCell ref="J109:M109"/>
    <mergeCell ref="O109:R109"/>
    <mergeCell ref="C111:R111"/>
    <mergeCell ref="C112:I112"/>
    <mergeCell ref="J112:M112"/>
    <mergeCell ref="O112:R112"/>
    <mergeCell ref="AD121:AF121"/>
    <mergeCell ref="AG121:AJ121"/>
    <mergeCell ref="U118:W118"/>
    <mergeCell ref="X118:Z118"/>
    <mergeCell ref="AA118:AC118"/>
    <mergeCell ref="AD118:AF118"/>
    <mergeCell ref="AG118:AJ118"/>
    <mergeCell ref="U119:W119"/>
    <mergeCell ref="X119:Z119"/>
    <mergeCell ref="AA119:AC119"/>
    <mergeCell ref="AD119:AF119"/>
    <mergeCell ref="AG119:AJ119"/>
    <mergeCell ref="X120:Z120"/>
    <mergeCell ref="AA120:AC120"/>
    <mergeCell ref="AD120:AF120"/>
    <mergeCell ref="AG60:AJ61"/>
    <mergeCell ref="U120:W120"/>
    <mergeCell ref="AG62:AJ62"/>
    <mergeCell ref="J60:M60"/>
    <mergeCell ref="O60:R60"/>
    <mergeCell ref="AA63:AC63"/>
    <mergeCell ref="AD63:AF63"/>
    <mergeCell ref="AG63:AJ63"/>
    <mergeCell ref="J59:M59"/>
    <mergeCell ref="O59:R59"/>
    <mergeCell ref="AD66:AF66"/>
    <mergeCell ref="AG66:AJ66"/>
    <mergeCell ref="AA70:AC70"/>
    <mergeCell ref="AD70:AF70"/>
    <mergeCell ref="AG70:AJ70"/>
    <mergeCell ref="AG78:AJ78"/>
    <mergeCell ref="AA75:AC75"/>
    <mergeCell ref="AD75:AF75"/>
    <mergeCell ref="AG65:AJ65"/>
    <mergeCell ref="AG120:AJ120"/>
    <mergeCell ref="AD115:AF115"/>
    <mergeCell ref="AG115:AJ115"/>
    <mergeCell ref="U116:W116"/>
    <mergeCell ref="X116:Z116"/>
    <mergeCell ref="J54:L54"/>
    <mergeCell ref="U60:W61"/>
    <mergeCell ref="X60:Z61"/>
    <mergeCell ref="AA60:AC61"/>
    <mergeCell ref="AD60:AF61"/>
    <mergeCell ref="AA116:AC116"/>
    <mergeCell ref="AD116:AF116"/>
    <mergeCell ref="X109:Z109"/>
    <mergeCell ref="AA109:AC109"/>
    <mergeCell ref="AD109:AF109"/>
    <mergeCell ref="U108:W108"/>
    <mergeCell ref="X108:Z108"/>
    <mergeCell ref="AA108:AC108"/>
    <mergeCell ref="AD108:AF108"/>
    <mergeCell ref="M105:O105"/>
    <mergeCell ref="M106:O106"/>
    <mergeCell ref="M107:O107"/>
    <mergeCell ref="M56:O56"/>
    <mergeCell ref="M57:O57"/>
    <mergeCell ref="AD65:AF65"/>
    <mergeCell ref="AA72:AC72"/>
    <mergeCell ref="AD72:AF72"/>
    <mergeCell ref="O113:R113"/>
    <mergeCell ref="AD113:AF113"/>
    <mergeCell ref="U124:W124"/>
    <mergeCell ref="X124:Z124"/>
    <mergeCell ref="AA124:AC124"/>
    <mergeCell ref="AD124:AF124"/>
    <mergeCell ref="AG124:AJ124"/>
    <mergeCell ref="U122:W122"/>
    <mergeCell ref="X122:Z122"/>
    <mergeCell ref="AA122:AC122"/>
    <mergeCell ref="AD122:AF122"/>
    <mergeCell ref="AG122:AJ122"/>
    <mergeCell ref="U123:W123"/>
    <mergeCell ref="X123:Z123"/>
    <mergeCell ref="AA123:AC123"/>
    <mergeCell ref="AD123:AF123"/>
    <mergeCell ref="AG123:AJ123"/>
    <mergeCell ref="C70:I70"/>
    <mergeCell ref="J70:M70"/>
    <mergeCell ref="O70:R70"/>
    <mergeCell ref="C66:I66"/>
    <mergeCell ref="J66:M66"/>
    <mergeCell ref="O66:R66"/>
    <mergeCell ref="AA65:AC65"/>
    <mergeCell ref="C63:I63"/>
    <mergeCell ref="J63:M63"/>
    <mergeCell ref="O63:R63"/>
    <mergeCell ref="AA66:AC66"/>
    <mergeCell ref="C64:I64"/>
    <mergeCell ref="J64:M64"/>
    <mergeCell ref="O64:R64"/>
    <mergeCell ref="C65:I65"/>
    <mergeCell ref="J65:M65"/>
    <mergeCell ref="O65:R65"/>
    <mergeCell ref="J69:M69"/>
    <mergeCell ref="O69:R69"/>
    <mergeCell ref="AD69:AF69"/>
    <mergeCell ref="AG69:AJ69"/>
    <mergeCell ref="C67:I67"/>
    <mergeCell ref="J67:M67"/>
    <mergeCell ref="O67:R67"/>
    <mergeCell ref="AA69:AC69"/>
    <mergeCell ref="C68:I68"/>
    <mergeCell ref="J68:M68"/>
    <mergeCell ref="O68:R68"/>
    <mergeCell ref="AD67:AF67"/>
    <mergeCell ref="AG67:AJ67"/>
    <mergeCell ref="AA68:AC68"/>
    <mergeCell ref="AD68:AF68"/>
    <mergeCell ref="AG68:AJ68"/>
    <mergeCell ref="AD78:AF78"/>
    <mergeCell ref="C75:I75"/>
    <mergeCell ref="AA76:AC76"/>
    <mergeCell ref="AD76:AF76"/>
    <mergeCell ref="AG74:AJ74"/>
    <mergeCell ref="AA71:AC71"/>
    <mergeCell ref="C73:I73"/>
    <mergeCell ref="J73:M73"/>
    <mergeCell ref="O73:R73"/>
    <mergeCell ref="J75:M75"/>
    <mergeCell ref="O75:R75"/>
    <mergeCell ref="AA73:AC73"/>
    <mergeCell ref="AD71:AF71"/>
    <mergeCell ref="AA74:AC74"/>
    <mergeCell ref="AD74:AF74"/>
    <mergeCell ref="C74:I74"/>
    <mergeCell ref="J74:M74"/>
    <mergeCell ref="O74:R74"/>
    <mergeCell ref="AB85:AC85"/>
    <mergeCell ref="AD85:AE85"/>
    <mergeCell ref="AF85:AG85"/>
    <mergeCell ref="AH85:AJ85"/>
    <mergeCell ref="A80:C81"/>
    <mergeCell ref="L85:M85"/>
    <mergeCell ref="N85:O85"/>
    <mergeCell ref="P85:Q85"/>
    <mergeCell ref="R85:S85"/>
    <mergeCell ref="L83:O84"/>
    <mergeCell ref="P83:S84"/>
    <mergeCell ref="D85:E85"/>
    <mergeCell ref="H85:I85"/>
    <mergeCell ref="J85:K85"/>
    <mergeCell ref="AB83:AE84"/>
    <mergeCell ref="AF83:AJ84"/>
    <mergeCell ref="V85:W85"/>
    <mergeCell ref="D83:G84"/>
    <mergeCell ref="H83:K84"/>
    <mergeCell ref="N26:O26"/>
    <mergeCell ref="P26:Q26"/>
    <mergeCell ref="N27:O27"/>
    <mergeCell ref="P27:Q27"/>
    <mergeCell ref="N16:O16"/>
    <mergeCell ref="P16:Q16"/>
    <mergeCell ref="C71:I71"/>
    <mergeCell ref="J71:M71"/>
    <mergeCell ref="O71:R71"/>
    <mergeCell ref="A52:AJ52"/>
    <mergeCell ref="M55:O55"/>
    <mergeCell ref="N29:Q29"/>
    <mergeCell ref="N21:Q21"/>
    <mergeCell ref="S22:Z22"/>
    <mergeCell ref="AB22:AJ22"/>
    <mergeCell ref="S23:Z29"/>
    <mergeCell ref="AB23:AJ29"/>
    <mergeCell ref="N22:Q22"/>
    <mergeCell ref="AB50:AC50"/>
    <mergeCell ref="AB51:AC51"/>
    <mergeCell ref="N31:Q31"/>
    <mergeCell ref="N32:Q32"/>
    <mergeCell ref="AG71:AJ71"/>
    <mergeCell ref="C69:I69"/>
  </mergeCells>
  <dataValidations count="1">
    <dataValidation type="list" allowBlank="1" showInputMessage="1" showErrorMessage="1" sqref="AA8 AE8:AE9" xr:uid="{00000000-0002-0000-0200-000000000000}">
      <formula1>Tide</formula1>
    </dataValidation>
  </dataValidations>
  <pageMargins left="0.5" right="0.5" top="0.75" bottom="0.75" header="0.3" footer="0.3"/>
  <pageSetup scale="98" orientation="portrait" r:id="rId1"/>
  <rowBreaks count="1" manualBreakCount="1">
    <brk id="5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4"/>
  <sheetViews>
    <sheetView workbookViewId="0">
      <selection activeCell="J16" sqref="J16"/>
    </sheetView>
  </sheetViews>
  <sheetFormatPr defaultRowHeight="15" x14ac:dyDescent="0.25"/>
  <sheetData>
    <row r="1" spans="1:14" x14ac:dyDescent="0.25">
      <c r="A1" t="s">
        <v>284</v>
      </c>
      <c r="D1" t="s">
        <v>251</v>
      </c>
    </row>
    <row r="2" spans="1:14" s="53" customFormat="1" x14ac:dyDescent="0.25">
      <c r="A2" t="e">
        <f>'Data Sheet - SITE'!K244/'Data Sheet - SITE'!F244</f>
        <v>#DIV/0!</v>
      </c>
      <c r="B2" t="e">
        <f>'Data Sheet - SITE'!K246/'Data Sheet - SITE'!F246</f>
        <v>#DIV/0!</v>
      </c>
      <c r="D2" s="53" t="s">
        <v>98</v>
      </c>
      <c r="E2" s="53" t="s">
        <v>99</v>
      </c>
      <c r="F2" s="53" t="s">
        <v>100</v>
      </c>
      <c r="G2" s="53" t="s">
        <v>285</v>
      </c>
    </row>
    <row r="3" spans="1:14" x14ac:dyDescent="0.25">
      <c r="D3">
        <f>COUNTIF('Data Sheet - SITE'!F86,"=2")+COUNTIF('Data Sheet - SITE'!I62,"=2")+COUNTIF('Data Sheet - SITE'!I70,"=2")+COUNTIF('Data Sheet - SITE'!U62,"=2")+COUNTIF('Data Sheet - SITE'!U70,"=2")</f>
        <v>2</v>
      </c>
      <c r="E3">
        <f>(COUNTIF('Data Sheet - SITE'!F86,"=3")+COUNTIF('Data Sheet - SITE'!I62,"=3")+COUNTIF('Data Sheet - SITE'!I70,"=3")+COUNTIF('Data Sheet - SITE'!U62,"=3")+COUNTIF('Data Sheet - SITE'!U70,"=3"))+D3</f>
        <v>3</v>
      </c>
      <c r="F3">
        <f>COUNTIF('Data Sheet - SITE'!F86,"=4")+COUNTIF('Data Sheet - SITE'!I62,"=4")+COUNTIF('Data Sheet - SITE'!I70,"=4")+COUNTIF('Data Sheet - SITE'!U62,"=4")+COUNTIF('Data Sheet - SITE'!U70,"=4")</f>
        <v>0</v>
      </c>
      <c r="G3">
        <f>COUNTIF('Data Sheet - SITE'!AD62,"=5")+COUNTIF('Data Sheet - SITE'!AD70,"=5")+COUNTIF('Data Sheet - SITE'!F78,"=5")</f>
        <v>0</v>
      </c>
    </row>
    <row r="7" spans="1:14" x14ac:dyDescent="0.25">
      <c r="A7" t="s">
        <v>253</v>
      </c>
      <c r="E7" t="s">
        <v>289</v>
      </c>
      <c r="H7" t="s">
        <v>290</v>
      </c>
    </row>
    <row r="8" spans="1:14" s="53" customFormat="1" x14ac:dyDescent="0.25">
      <c r="A8" s="53" t="s">
        <v>11</v>
      </c>
      <c r="B8" s="53" t="s">
        <v>12</v>
      </c>
      <c r="C8" s="53" t="s">
        <v>286</v>
      </c>
      <c r="E8" s="53" t="s">
        <v>287</v>
      </c>
      <c r="F8" s="53" t="s">
        <v>288</v>
      </c>
      <c r="H8" s="53" t="s">
        <v>287</v>
      </c>
      <c r="I8" s="53" t="s">
        <v>288</v>
      </c>
    </row>
    <row r="9" spans="1:14" x14ac:dyDescent="0.25">
      <c r="A9">
        <f>'Data Sheet - SITE'!Y99-'Data Sheet - SITE'!Y95</f>
        <v>-1.370000000000001</v>
      </c>
      <c r="B9">
        <f>'Data Sheet - SITE'!AD99-'Data Sheet - SITE'!AD95</f>
        <v>-0.66000000000000014</v>
      </c>
      <c r="C9">
        <f>(A9/B9)*100</f>
        <v>207.57575757575771</v>
      </c>
      <c r="E9">
        <f>'Data Sheet - SITE'!F244/'Data Sheet - SITE'!Y48</f>
        <v>0</v>
      </c>
      <c r="F9">
        <f>'Data Sheet - SITE'!F244/AVERAGE('Data Sheet - SITE'!Y48,'Data Sheet - SITE'!Y51)</f>
        <v>0</v>
      </c>
      <c r="H9">
        <f>'Data Sheet - SITE'!F246/'Data Sheet - SITE'!AC48</f>
        <v>0</v>
      </c>
      <c r="I9">
        <f>'Data Sheet - SITE'!F246/AVERAGE('Data Sheet - SITE'!AC48,'Data Sheet - SITE'!AC51)</f>
        <v>0</v>
      </c>
    </row>
    <row r="12" spans="1:14" x14ac:dyDescent="0.25">
      <c r="A12" t="s">
        <v>291</v>
      </c>
      <c r="E12" t="s">
        <v>292</v>
      </c>
    </row>
    <row r="13" spans="1:14" x14ac:dyDescent="0.25">
      <c r="A13" t="s">
        <v>11</v>
      </c>
      <c r="B13" t="s">
        <v>12</v>
      </c>
      <c r="E13" t="s">
        <v>11</v>
      </c>
      <c r="F13" t="s">
        <v>12</v>
      </c>
    </row>
    <row r="14" spans="1:14" x14ac:dyDescent="0.25">
      <c r="A14">
        <f>'Data Sheet - SUMMARY'!J67-'Data Sheet - SUMMARY'!J65</f>
        <v>0.24000000000000021</v>
      </c>
      <c r="B14">
        <f>'Data Sheet - SUMMARY'!O67-'Data Sheet - SUMMARY'!O65</f>
        <v>1.1200000000000001</v>
      </c>
      <c r="E14">
        <f>'Data Sheet - SUMMARY'!J66-'Data Sheet - SUMMARY'!J65</f>
        <v>-2.87</v>
      </c>
      <c r="F14">
        <f>'Data Sheet - SITE'!AD101-'Data Sheet - SITE'!AD100</f>
        <v>2.25</v>
      </c>
      <c r="N14">
        <f>IF(Calculations!C9&gt;=0.9,1,IF)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4:C127"/>
  <sheetViews>
    <sheetView topLeftCell="A65" workbookViewId="0">
      <selection activeCell="G111" sqref="G111"/>
    </sheetView>
  </sheetViews>
  <sheetFormatPr defaultRowHeight="15" x14ac:dyDescent="0.25"/>
  <sheetData>
    <row r="4" spans="1:2" x14ac:dyDescent="0.25">
      <c r="A4" t="s">
        <v>17</v>
      </c>
    </row>
    <row r="5" spans="1:2" x14ac:dyDescent="0.25">
      <c r="A5">
        <v>1</v>
      </c>
    </row>
    <row r="6" spans="1:2" x14ac:dyDescent="0.25">
      <c r="A6">
        <v>2</v>
      </c>
      <c r="B6" t="s">
        <v>14</v>
      </c>
    </row>
    <row r="7" spans="1:2" x14ac:dyDescent="0.25">
      <c r="A7">
        <v>3</v>
      </c>
      <c r="B7" t="s">
        <v>15</v>
      </c>
    </row>
    <row r="8" spans="1:2" x14ac:dyDescent="0.25">
      <c r="A8">
        <v>4</v>
      </c>
      <c r="B8" t="s">
        <v>16</v>
      </c>
    </row>
    <row r="11" spans="1:2" x14ac:dyDescent="0.25">
      <c r="A11" t="s">
        <v>18</v>
      </c>
    </row>
    <row r="12" spans="1:2" x14ac:dyDescent="0.25">
      <c r="A12">
        <v>1</v>
      </c>
      <c r="B12" t="s">
        <v>91</v>
      </c>
    </row>
    <row r="13" spans="1:2" x14ac:dyDescent="0.25">
      <c r="A13">
        <v>2</v>
      </c>
      <c r="B13" t="s">
        <v>19</v>
      </c>
    </row>
    <row r="14" spans="1:2" x14ac:dyDescent="0.25">
      <c r="A14">
        <v>3</v>
      </c>
      <c r="B14" t="s">
        <v>20</v>
      </c>
    </row>
    <row r="15" spans="1:2" x14ac:dyDescent="0.25">
      <c r="A15">
        <v>4</v>
      </c>
      <c r="B15" t="s">
        <v>118</v>
      </c>
    </row>
    <row r="16" spans="1:2" s="53" customFormat="1" x14ac:dyDescent="0.25">
      <c r="A16" s="53">
        <v>5</v>
      </c>
      <c r="B16" s="53" t="s">
        <v>205</v>
      </c>
    </row>
    <row r="17" spans="1:2" x14ac:dyDescent="0.25">
      <c r="A17">
        <v>6</v>
      </c>
      <c r="B17" s="37" t="s">
        <v>21</v>
      </c>
    </row>
    <row r="19" spans="1:2" x14ac:dyDescent="0.25">
      <c r="A19" t="s">
        <v>23</v>
      </c>
    </row>
    <row r="20" spans="1:2" x14ac:dyDescent="0.25">
      <c r="A20">
        <v>1</v>
      </c>
    </row>
    <row r="21" spans="1:2" x14ac:dyDescent="0.25">
      <c r="A21">
        <v>2</v>
      </c>
      <c r="B21" t="s">
        <v>119</v>
      </c>
    </row>
    <row r="22" spans="1:2" x14ac:dyDescent="0.25">
      <c r="A22">
        <v>3</v>
      </c>
      <c r="B22" t="s">
        <v>39</v>
      </c>
    </row>
    <row r="23" spans="1:2" x14ac:dyDescent="0.25">
      <c r="A23">
        <v>4</v>
      </c>
      <c r="B23" t="s">
        <v>40</v>
      </c>
    </row>
    <row r="24" spans="1:2" x14ac:dyDescent="0.25">
      <c r="A24">
        <v>5</v>
      </c>
      <c r="B24" t="s">
        <v>41</v>
      </c>
    </row>
    <row r="25" spans="1:2" x14ac:dyDescent="0.25">
      <c r="A25">
        <v>6</v>
      </c>
      <c r="B25" t="s">
        <v>42</v>
      </c>
    </row>
    <row r="26" spans="1:2" x14ac:dyDescent="0.25">
      <c r="A26">
        <v>7</v>
      </c>
      <c r="B26" t="s">
        <v>43</v>
      </c>
    </row>
    <row r="27" spans="1:2" x14ac:dyDescent="0.25">
      <c r="A27">
        <v>8</v>
      </c>
      <c r="B27" t="s">
        <v>44</v>
      </c>
    </row>
    <row r="28" spans="1:2" x14ac:dyDescent="0.25">
      <c r="A28">
        <v>9</v>
      </c>
      <c r="B28" t="s">
        <v>45</v>
      </c>
    </row>
    <row r="29" spans="1:2" x14ac:dyDescent="0.25">
      <c r="A29">
        <v>10</v>
      </c>
      <c r="B29" t="s">
        <v>46</v>
      </c>
    </row>
    <row r="30" spans="1:2" x14ac:dyDescent="0.25">
      <c r="A30">
        <v>11</v>
      </c>
      <c r="B30" t="s">
        <v>47</v>
      </c>
    </row>
    <row r="32" spans="1:2" x14ac:dyDescent="0.25">
      <c r="A32" t="s">
        <v>24</v>
      </c>
    </row>
    <row r="33" spans="1:2" x14ac:dyDescent="0.25">
      <c r="A33">
        <v>1</v>
      </c>
    </row>
    <row r="34" spans="1:2" x14ac:dyDescent="0.25">
      <c r="A34">
        <v>2</v>
      </c>
      <c r="B34" t="s">
        <v>25</v>
      </c>
    </row>
    <row r="35" spans="1:2" x14ac:dyDescent="0.25">
      <c r="A35">
        <v>3</v>
      </c>
      <c r="B35" t="s">
        <v>26</v>
      </c>
    </row>
    <row r="36" spans="1:2" x14ac:dyDescent="0.25">
      <c r="A36">
        <v>4</v>
      </c>
      <c r="B36" t="s">
        <v>27</v>
      </c>
    </row>
    <row r="37" spans="1:2" x14ac:dyDescent="0.25">
      <c r="A37">
        <v>5</v>
      </c>
      <c r="B37" t="s">
        <v>28</v>
      </c>
    </row>
    <row r="38" spans="1:2" x14ac:dyDescent="0.25">
      <c r="A38">
        <v>6</v>
      </c>
      <c r="B38" t="s">
        <v>29</v>
      </c>
    </row>
    <row r="41" spans="1:2" x14ac:dyDescent="0.25">
      <c r="A41" t="s">
        <v>56</v>
      </c>
    </row>
    <row r="42" spans="1:2" x14ac:dyDescent="0.25">
      <c r="A42">
        <v>1</v>
      </c>
    </row>
    <row r="43" spans="1:2" x14ac:dyDescent="0.25">
      <c r="A43">
        <v>2</v>
      </c>
      <c r="B43" t="s">
        <v>98</v>
      </c>
    </row>
    <row r="44" spans="1:2" x14ac:dyDescent="0.25">
      <c r="A44">
        <v>3</v>
      </c>
      <c r="B44" t="s">
        <v>99</v>
      </c>
    </row>
    <row r="45" spans="1:2" x14ac:dyDescent="0.25">
      <c r="A45">
        <v>4</v>
      </c>
      <c r="B45" t="s">
        <v>100</v>
      </c>
    </row>
    <row r="47" spans="1:2" x14ac:dyDescent="0.25">
      <c r="A47" t="s">
        <v>63</v>
      </c>
    </row>
    <row r="48" spans="1:2" x14ac:dyDescent="0.25">
      <c r="A48" s="37">
        <v>1</v>
      </c>
    </row>
    <row r="49" spans="1:2" x14ac:dyDescent="0.25">
      <c r="A49" s="37">
        <v>2</v>
      </c>
      <c r="B49" t="s">
        <v>64</v>
      </c>
    </row>
    <row r="50" spans="1:2" x14ac:dyDescent="0.25">
      <c r="A50" s="37">
        <v>3</v>
      </c>
      <c r="B50" t="s">
        <v>65</v>
      </c>
    </row>
    <row r="51" spans="1:2" s="53" customFormat="1" x14ac:dyDescent="0.25">
      <c r="A51" s="53">
        <v>4</v>
      </c>
      <c r="B51" s="53" t="s">
        <v>172</v>
      </c>
    </row>
    <row r="52" spans="1:2" x14ac:dyDescent="0.25">
      <c r="A52" s="37">
        <v>5</v>
      </c>
      <c r="B52" t="s">
        <v>66</v>
      </c>
    </row>
    <row r="53" spans="1:2" x14ac:dyDescent="0.25">
      <c r="A53" s="37">
        <v>6</v>
      </c>
      <c r="B53" t="s">
        <v>67</v>
      </c>
    </row>
    <row r="54" spans="1:2" s="53" customFormat="1" x14ac:dyDescent="0.25">
      <c r="A54" s="53">
        <v>7</v>
      </c>
      <c r="B54" s="53" t="s">
        <v>173</v>
      </c>
    </row>
    <row r="55" spans="1:2" s="53" customFormat="1" x14ac:dyDescent="0.25">
      <c r="A55" s="53">
        <v>8</v>
      </c>
      <c r="B55" s="53" t="s">
        <v>174</v>
      </c>
    </row>
    <row r="56" spans="1:2" x14ac:dyDescent="0.25">
      <c r="A56" s="37">
        <v>9</v>
      </c>
      <c r="B56" t="s">
        <v>68</v>
      </c>
    </row>
    <row r="57" spans="1:2" s="53" customFormat="1" x14ac:dyDescent="0.25">
      <c r="A57" s="53">
        <v>10</v>
      </c>
      <c r="B57" s="53" t="s">
        <v>175</v>
      </c>
    </row>
    <row r="58" spans="1:2" x14ac:dyDescent="0.25">
      <c r="A58">
        <v>11</v>
      </c>
      <c r="B58" t="s">
        <v>69</v>
      </c>
    </row>
    <row r="59" spans="1:2" x14ac:dyDescent="0.25">
      <c r="A59">
        <v>12</v>
      </c>
      <c r="B59" t="s">
        <v>70</v>
      </c>
    </row>
    <row r="60" spans="1:2" x14ac:dyDescent="0.25">
      <c r="A60">
        <v>13</v>
      </c>
      <c r="B60" t="s">
        <v>108</v>
      </c>
    </row>
    <row r="61" spans="1:2" x14ac:dyDescent="0.25">
      <c r="A61">
        <v>14</v>
      </c>
      <c r="B61" t="s">
        <v>81</v>
      </c>
    </row>
    <row r="62" spans="1:2" s="53" customFormat="1" x14ac:dyDescent="0.25"/>
    <row r="64" spans="1:2" x14ac:dyDescent="0.25">
      <c r="A64" t="s">
        <v>71</v>
      </c>
    </row>
    <row r="65" spans="1:2" x14ac:dyDescent="0.25">
      <c r="A65" s="37">
        <v>1</v>
      </c>
      <c r="B65" s="37"/>
    </row>
    <row r="66" spans="1:2" x14ac:dyDescent="0.25">
      <c r="A66" s="37">
        <v>2</v>
      </c>
      <c r="B66" t="s">
        <v>73</v>
      </c>
    </row>
    <row r="67" spans="1:2" x14ac:dyDescent="0.25">
      <c r="A67" s="37">
        <v>3</v>
      </c>
      <c r="B67" t="s">
        <v>74</v>
      </c>
    </row>
    <row r="68" spans="1:2" x14ac:dyDescent="0.25">
      <c r="A68" s="37">
        <v>4</v>
      </c>
      <c r="B68" t="s">
        <v>75</v>
      </c>
    </row>
    <row r="69" spans="1:2" x14ac:dyDescent="0.25">
      <c r="A69" s="37">
        <v>5</v>
      </c>
      <c r="B69" t="s">
        <v>76</v>
      </c>
    </row>
    <row r="70" spans="1:2" x14ac:dyDescent="0.25">
      <c r="A70" s="37">
        <v>6</v>
      </c>
      <c r="B70" t="s">
        <v>77</v>
      </c>
    </row>
    <row r="71" spans="1:2" x14ac:dyDescent="0.25">
      <c r="A71" s="37">
        <v>7</v>
      </c>
      <c r="B71" t="s">
        <v>78</v>
      </c>
    </row>
    <row r="72" spans="1:2" x14ac:dyDescent="0.25">
      <c r="A72" s="37">
        <v>8</v>
      </c>
      <c r="B72" t="s">
        <v>79</v>
      </c>
    </row>
    <row r="73" spans="1:2" x14ac:dyDescent="0.25">
      <c r="A73" s="37">
        <v>9</v>
      </c>
      <c r="B73" t="s">
        <v>80</v>
      </c>
    </row>
    <row r="74" spans="1:2" x14ac:dyDescent="0.25">
      <c r="A74">
        <v>10</v>
      </c>
      <c r="B74" t="s">
        <v>81</v>
      </c>
    </row>
    <row r="76" spans="1:2" x14ac:dyDescent="0.25">
      <c r="A76" t="s">
        <v>86</v>
      </c>
    </row>
    <row r="77" spans="1:2" x14ac:dyDescent="0.25">
      <c r="A77">
        <v>1</v>
      </c>
    </row>
    <row r="78" spans="1:2" x14ac:dyDescent="0.25">
      <c r="A78">
        <v>2</v>
      </c>
      <c r="B78" t="s">
        <v>87</v>
      </c>
    </row>
    <row r="79" spans="1:2" x14ac:dyDescent="0.25">
      <c r="A79">
        <v>3</v>
      </c>
      <c r="B79" t="s">
        <v>88</v>
      </c>
    </row>
    <row r="80" spans="1:2" x14ac:dyDescent="0.25">
      <c r="A80">
        <v>4</v>
      </c>
      <c r="B80" t="s">
        <v>89</v>
      </c>
    </row>
    <row r="81" spans="1:2" x14ac:dyDescent="0.25">
      <c r="A81">
        <v>5</v>
      </c>
      <c r="B81" t="s">
        <v>90</v>
      </c>
    </row>
    <row r="85" spans="1:2" x14ac:dyDescent="0.25">
      <c r="A85" t="s">
        <v>92</v>
      </c>
    </row>
    <row r="86" spans="1:2" x14ac:dyDescent="0.25">
      <c r="A86">
        <v>1</v>
      </c>
    </row>
    <row r="87" spans="1:2" x14ac:dyDescent="0.25">
      <c r="A87">
        <v>2</v>
      </c>
      <c r="B87" t="s">
        <v>93</v>
      </c>
    </row>
    <row r="88" spans="1:2" x14ac:dyDescent="0.25">
      <c r="A88">
        <v>3</v>
      </c>
      <c r="B88" t="s">
        <v>73</v>
      </c>
    </row>
    <row r="89" spans="1:2" x14ac:dyDescent="0.25">
      <c r="A89">
        <v>4</v>
      </c>
      <c r="B89" t="s">
        <v>94</v>
      </c>
    </row>
    <row r="90" spans="1:2" x14ac:dyDescent="0.25">
      <c r="A90">
        <v>5</v>
      </c>
      <c r="B90" t="s">
        <v>95</v>
      </c>
    </row>
    <row r="91" spans="1:2" x14ac:dyDescent="0.25">
      <c r="A91">
        <v>6</v>
      </c>
      <c r="B91" t="s">
        <v>96</v>
      </c>
    </row>
    <row r="92" spans="1:2" x14ac:dyDescent="0.25">
      <c r="A92">
        <v>7</v>
      </c>
      <c r="B92" t="s">
        <v>178</v>
      </c>
    </row>
    <row r="93" spans="1:2" x14ac:dyDescent="0.25">
      <c r="A93">
        <v>8</v>
      </c>
      <c r="B93" t="s">
        <v>81</v>
      </c>
    </row>
    <row r="94" spans="1:2" x14ac:dyDescent="0.25">
      <c r="A94">
        <v>9</v>
      </c>
      <c r="B94" t="s">
        <v>87</v>
      </c>
    </row>
    <row r="96" spans="1:2" x14ac:dyDescent="0.25">
      <c r="A96" t="s">
        <v>97</v>
      </c>
    </row>
    <row r="97" spans="1:3" x14ac:dyDescent="0.25">
      <c r="A97">
        <v>1</v>
      </c>
    </row>
    <row r="98" spans="1:3" x14ac:dyDescent="0.25">
      <c r="A98">
        <v>3</v>
      </c>
      <c r="B98" t="s">
        <v>98</v>
      </c>
    </row>
    <row r="99" spans="1:3" x14ac:dyDescent="0.25">
      <c r="A99">
        <v>4</v>
      </c>
      <c r="B99" t="s">
        <v>99</v>
      </c>
    </row>
    <row r="100" spans="1:3" s="53" customFormat="1" x14ac:dyDescent="0.25">
      <c r="A100">
        <v>5</v>
      </c>
      <c r="B100" t="s">
        <v>100</v>
      </c>
    </row>
    <row r="101" spans="1:3" x14ac:dyDescent="0.25">
      <c r="A101">
        <v>6</v>
      </c>
      <c r="B101" t="s">
        <v>91</v>
      </c>
    </row>
    <row r="103" spans="1:3" x14ac:dyDescent="0.25">
      <c r="A103" s="35" t="s">
        <v>140</v>
      </c>
      <c r="B103" s="35"/>
      <c r="C103" s="35"/>
    </row>
    <row r="104" spans="1:3" x14ac:dyDescent="0.25">
      <c r="A104" s="35">
        <v>1</v>
      </c>
      <c r="B104" s="35"/>
      <c r="C104" s="35"/>
    </row>
    <row r="105" spans="1:3" x14ac:dyDescent="0.25">
      <c r="A105" s="35">
        <v>2</v>
      </c>
      <c r="B105" s="35" t="s">
        <v>87</v>
      </c>
      <c r="C105" s="35"/>
    </row>
    <row r="106" spans="1:3" x14ac:dyDescent="0.25">
      <c r="A106" s="35">
        <v>3</v>
      </c>
      <c r="B106" s="35" t="s">
        <v>103</v>
      </c>
      <c r="C106" s="35"/>
    </row>
    <row r="107" spans="1:3" x14ac:dyDescent="0.25">
      <c r="A107" s="35">
        <v>4</v>
      </c>
      <c r="B107" s="35" t="s">
        <v>102</v>
      </c>
      <c r="C107" s="35"/>
    </row>
    <row r="108" spans="1:3" x14ac:dyDescent="0.25">
      <c r="A108" s="35">
        <v>5</v>
      </c>
      <c r="B108" s="35" t="s">
        <v>176</v>
      </c>
      <c r="C108" s="35"/>
    </row>
    <row r="109" spans="1:3" s="37" customFormat="1" x14ac:dyDescent="0.25">
      <c r="A109" s="35">
        <v>6</v>
      </c>
      <c r="B109" s="35" t="s">
        <v>109</v>
      </c>
      <c r="C109" s="35"/>
    </row>
    <row r="110" spans="1:3" s="37" customFormat="1" x14ac:dyDescent="0.25">
      <c r="A110" s="35">
        <v>7</v>
      </c>
      <c r="B110" s="35" t="s">
        <v>138</v>
      </c>
      <c r="C110" s="35"/>
    </row>
    <row r="111" spans="1:3" s="37" customFormat="1" x14ac:dyDescent="0.25">
      <c r="A111" s="35">
        <v>8</v>
      </c>
      <c r="B111" s="35" t="s">
        <v>141</v>
      </c>
      <c r="C111" s="35"/>
    </row>
    <row r="112" spans="1:3" s="37" customFormat="1" x14ac:dyDescent="0.25">
      <c r="A112" s="35"/>
      <c r="B112" s="35"/>
      <c r="C112" s="35"/>
    </row>
    <row r="113" spans="1:3" s="37" customFormat="1" x14ac:dyDescent="0.25">
      <c r="A113" s="35" t="s">
        <v>137</v>
      </c>
      <c r="B113" s="35"/>
      <c r="C113" s="35"/>
    </row>
    <row r="114" spans="1:3" s="37" customFormat="1" x14ac:dyDescent="0.25">
      <c r="A114" s="35">
        <v>1</v>
      </c>
      <c r="B114" s="35"/>
      <c r="C114" s="35"/>
    </row>
    <row r="115" spans="1:3" s="37" customFormat="1" x14ac:dyDescent="0.25">
      <c r="A115" s="35">
        <v>2</v>
      </c>
      <c r="B115" s="35" t="s">
        <v>87</v>
      </c>
      <c r="C115" s="35"/>
    </row>
    <row r="116" spans="1:3" s="37" customFormat="1" x14ac:dyDescent="0.25">
      <c r="A116" s="35">
        <v>3</v>
      </c>
      <c r="B116" s="35" t="s">
        <v>103</v>
      </c>
      <c r="C116" s="35"/>
    </row>
    <row r="117" spans="1:3" s="37" customFormat="1" x14ac:dyDescent="0.25">
      <c r="A117" s="35">
        <v>4</v>
      </c>
      <c r="B117" s="35" t="s">
        <v>102</v>
      </c>
      <c r="C117" s="35"/>
    </row>
    <row r="118" spans="1:3" s="37" customFormat="1" x14ac:dyDescent="0.25">
      <c r="A118" s="35">
        <v>5</v>
      </c>
      <c r="B118" s="35" t="s">
        <v>109</v>
      </c>
      <c r="C118" s="35"/>
    </row>
    <row r="119" spans="1:3" s="37" customFormat="1" x14ac:dyDescent="0.25">
      <c r="A119" s="35">
        <v>6</v>
      </c>
      <c r="B119" s="35" t="s">
        <v>139</v>
      </c>
      <c r="C119" s="35"/>
    </row>
    <row r="120" spans="1:3" s="37" customFormat="1" x14ac:dyDescent="0.25">
      <c r="A120" s="35">
        <v>7</v>
      </c>
      <c r="B120" s="35" t="s">
        <v>141</v>
      </c>
      <c r="C120" s="35"/>
    </row>
    <row r="121" spans="1:3" x14ac:dyDescent="0.25">
      <c r="A121" s="35"/>
      <c r="B121" s="35"/>
      <c r="C121" s="35"/>
    </row>
    <row r="122" spans="1:3" x14ac:dyDescent="0.25">
      <c r="A122" s="35" t="s">
        <v>104</v>
      </c>
      <c r="B122" s="35"/>
      <c r="C122" s="35"/>
    </row>
    <row r="123" spans="1:3" x14ac:dyDescent="0.25">
      <c r="A123" s="35">
        <v>1</v>
      </c>
      <c r="B123" s="35"/>
      <c r="C123" s="35"/>
    </row>
    <row r="124" spans="1:3" x14ac:dyDescent="0.25">
      <c r="A124" s="35">
        <v>2</v>
      </c>
      <c r="B124" s="35" t="s">
        <v>87</v>
      </c>
      <c r="C124" s="35"/>
    </row>
    <row r="125" spans="1:3" x14ac:dyDescent="0.25">
      <c r="A125" s="35">
        <v>3</v>
      </c>
      <c r="B125" s="35" t="s">
        <v>88</v>
      </c>
      <c r="C125" s="35"/>
    </row>
    <row r="126" spans="1:3" x14ac:dyDescent="0.25">
      <c r="A126" s="35">
        <v>4</v>
      </c>
      <c r="B126" s="35" t="s">
        <v>89</v>
      </c>
      <c r="C126" s="35"/>
    </row>
    <row r="127" spans="1:3" x14ac:dyDescent="0.25">
      <c r="A127" s="35">
        <v>5</v>
      </c>
      <c r="B127" s="35" t="s">
        <v>90</v>
      </c>
      <c r="C127" s="3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Data Sheet - BLANK</vt:lpstr>
      <vt:lpstr>Data Sheet - SITE</vt:lpstr>
      <vt:lpstr>Data Sheet - SUMMARY</vt:lpstr>
      <vt:lpstr>Calculations</vt:lpstr>
      <vt:lpstr>Lookups</vt:lpstr>
      <vt:lpstr>'Data Sheet - BLANK'!Print_Area</vt:lpstr>
      <vt:lpstr>'Data Sheet - SITE'!Print_Area</vt:lpstr>
      <vt:lpstr>'Data Sheet - SUMMARY'!Print_Area</vt:lpstr>
    </vt:vector>
  </TitlesOfParts>
  <Company>The Nature Conservancy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psteckler</dc:creator>
  <cp:lastModifiedBy>Adam Starke</cp:lastModifiedBy>
  <cp:lastPrinted>2017-07-11T15:59:33Z</cp:lastPrinted>
  <dcterms:created xsi:type="dcterms:W3CDTF">2016-02-05T18:33:28Z</dcterms:created>
  <dcterms:modified xsi:type="dcterms:W3CDTF">2018-08-29T23:54:58Z</dcterms:modified>
</cp:coreProperties>
</file>